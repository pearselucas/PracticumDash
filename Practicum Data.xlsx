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ears\JN FIN Files\"/>
    </mc:Choice>
  </mc:AlternateContent>
  <xr:revisionPtr revIDLastSave="0" documentId="8_{BB89CD9F-48EC-4B15-9ADA-C7292622007B}" xr6:coauthVersionLast="47" xr6:coauthVersionMax="47" xr10:uidLastSave="{00000000-0000-0000-0000-000000000000}"/>
  <bookViews>
    <workbookView xWindow="-120" yWindow="-120" windowWidth="29040" windowHeight="15840" firstSheet="2" activeTab="3" xr2:uid="{6E2C77AC-F24B-5948-AF9E-62CE06EED357}"/>
  </bookViews>
  <sheets>
    <sheet name="Truist Park 1 mi" sheetId="2" r:id="rId1"/>
    <sheet name="Mercedez Benz Stadium 1 mi" sheetId="3" r:id="rId2"/>
    <sheet name="Bank of America Properties 1mi" sheetId="4" r:id="rId3"/>
    <sheet name="Spectrum Center Properties 1 mi" sheetId="5" r:id="rId4"/>
    <sheet name="Allegiant Stadium Properties 1 " sheetId="6" r:id="rId5"/>
    <sheet name="T Mobile Arena" sheetId="9" r:id="rId6"/>
    <sheet name="American Airlines Center 1 mi" sheetId="7" r:id="rId7"/>
    <sheet name="AT&amp;T Stadium 1 mi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<sst xmlns="http://schemas.openxmlformats.org/spreadsheetml/2006/main" count="777" uniqueCount="85">
  <si>
    <t>Market Cap Rate</t>
  </si>
  <si>
    <t>10 Year Average Cap Rate</t>
  </si>
  <si>
    <t>Market Sale Price/Unit</t>
  </si>
  <si>
    <t>Market Rent/Unit</t>
  </si>
  <si>
    <t>10 Year Market Asking Rent Growth</t>
  </si>
  <si>
    <t>Vacancy Rate</t>
  </si>
  <si>
    <t>Market Asking Rent Growth</t>
  </si>
  <si>
    <t>12 Mo Net Absorption Units</t>
  </si>
  <si>
    <t>10 year average Occupancy</t>
  </si>
  <si>
    <t>Under Construction Units</t>
  </si>
  <si>
    <t>Current Occupancy</t>
  </si>
  <si>
    <t>Inventory Units</t>
  </si>
  <si>
    <t>Multifamily</t>
  </si>
  <si>
    <t>Sale Comps</t>
  </si>
  <si>
    <t>Product Type</t>
  </si>
  <si>
    <t>Market Asking Rent/SF</t>
  </si>
  <si>
    <t>Market Sale Price/SF</t>
  </si>
  <si>
    <t>12 Mo Net Absorption</t>
  </si>
  <si>
    <t>10 year average Vacancy</t>
  </si>
  <si>
    <t>Under Construction SF</t>
  </si>
  <si>
    <t>Current Vacancy</t>
  </si>
  <si>
    <t>Inventory SF</t>
  </si>
  <si>
    <t>Industrial</t>
  </si>
  <si>
    <t>Retail</t>
  </si>
  <si>
    <t>Office</t>
  </si>
  <si>
    <t>KPI</t>
  </si>
  <si>
    <t>1 Mi Radius</t>
  </si>
  <si>
    <t>Bank of America Analysis</t>
  </si>
  <si>
    <t>Spectrum Center Analysis</t>
  </si>
  <si>
    <t>Hospitality</t>
  </si>
  <si>
    <t>Allegiant Stadium - Las Vegas</t>
  </si>
  <si>
    <t>-</t>
  </si>
  <si>
    <t>Market Sale Price/Room</t>
  </si>
  <si>
    <t>12 Mo ADR</t>
  </si>
  <si>
    <t>12 Mo Average Daily Rate</t>
  </si>
  <si>
    <t>12 Mo RevPAR</t>
  </si>
  <si>
    <t>Real Estate Data</t>
  </si>
  <si>
    <t> </t>
  </si>
  <si>
    <t>12 Mo Avg Daily Rate</t>
  </si>
  <si>
    <t>Demographic Data</t>
  </si>
  <si>
    <t>2020 Population</t>
  </si>
  <si>
    <t>2025 Population</t>
  </si>
  <si>
    <t>Population Growth (5 yr)</t>
  </si>
  <si>
    <t>Median Income</t>
  </si>
  <si>
    <t>Metric</t>
  </si>
  <si>
    <t>12 Mo Net Absorption SF</t>
  </si>
  <si>
    <t>Under Construction Rooms</t>
  </si>
  <si>
    <t>ADR</t>
  </si>
  <si>
    <t>RevPAR</t>
  </si>
  <si>
    <t>Median Household Income</t>
  </si>
  <si>
    <t>SUPPRESSED*</t>
  </si>
  <si>
    <t>T Mobile Arena</t>
  </si>
  <si>
    <t>City Avg</t>
  </si>
  <si>
    <t>AT&amp;T Stadium - 1 Mile Radius</t>
  </si>
  <si>
    <t>1 AT&amp;T Way, Arlington, TX 76011    Source: CoStar Analytics, 1-Mile Custom Radius, April 2026</t>
  </si>
  <si>
    <t>Venue (1 mi)</t>
  </si>
  <si>
    <t>DFW Market</t>
  </si>
  <si>
    <t>Venue Current</t>
  </si>
  <si>
    <t>Venue 10-Yr</t>
  </si>
  <si>
    <t>DFW 10-Yr Avg</t>
  </si>
  <si>
    <t>◼  OFFICE</t>
  </si>
  <si>
    <t>KEY PERFORMANCE INDICATORS  ▶  10-Year Avg (2016–2026)</t>
  </si>
  <si>
    <t>Rent Growth</t>
  </si>
  <si>
    <t>Asking Rent/SF</t>
  </si>
  <si>
    <t>Sale Price/SF</t>
  </si>
  <si>
    <t>Cap Rate</t>
  </si>
  <si>
    <t>◼  RETAIL</t>
  </si>
  <si>
    <t>KEY PERFORMANCE INDICATORS   10-Year Avg (2016–2026)</t>
  </si>
  <si>
    <t>◼  HOSPITALITY</t>
  </si>
  <si>
    <t>Inventory (Rooms)</t>
  </si>
  <si>
    <t>Occupancy Rate</t>
  </si>
  <si>
    <t>N/A</t>
  </si>
  <si>
    <t>12 Mo OCC Rate</t>
  </si>
  <si>
    <t>Sale Price/Room</t>
  </si>
  <si>
    <t>◼  MULTIFAMILY</t>
  </si>
  <si>
    <t>KEY PERFORMANCE INDICATORS    10-Year Avg (2016–2026)</t>
  </si>
  <si>
    <t>Inventory (Units)</t>
  </si>
  <si>
    <t>Rent/Unit</t>
  </si>
  <si>
    <t>Sale Price/Unit</t>
  </si>
  <si>
    <t>◼  DEMOGRAPHICS</t>
  </si>
  <si>
    <t>Population Growth (5-Yr)</t>
  </si>
  <si>
    <t>SUPPRESSED: CoStar withholds hotel performance data (OCC/ADR/RevPAR) when a single brand exceeds 50% of rooms in the radius.  Blue values = DFW-Fort Worth CoStar Market averages (April 2026).  10-Yr Avg = center of CoStar 'Typical Range' band (2016–2026).</t>
  </si>
  <si>
    <t>American Airlines Center - 1 Mile Radius</t>
  </si>
  <si>
    <t>2500 Victory Ave, Dallas, TX 75219   Source: CoStar Analytics, 1-Mile Custom Radius, April 2026</t>
  </si>
  <si>
    <t>* SUPPRESSED: CoStar withholds hotel performance data (OCC/ADR/RevPAR) when a single brand exceeds 50% of rooms in the radius.  Blue values = DFW-Fort Worth CoStar Market averages (April 2026).  10-Yr Avg = center of CoStar 'Typical Range' band (2016–2026).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</si>
</sst>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7" formatCode="&quot;$&quot;#,##0.00"/>
  </numFmts>
  <fonts count="2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Source Sans Pro"/>
      <family val="2"/>
    </font>
    <font>
      <b/>
      <sz val="12"/>
      <color theme="1"/>
      <name val="Source Sans Pro"/>
      <family val="2"/>
    </font>
    <font>
      <i/>
      <sz val="12"/>
      <color theme="1"/>
      <name val="Source Sans Pro"/>
      <family val="2"/>
    </font>
    <font>
      <b/>
      <sz val="12"/>
      <color theme="0"/>
      <name val="Source Sans Pro"/>
      <family val="2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1"/>
      <color rgb="FF9C0006"/>
      <name val="Aptos Narrow"/>
      <family val="2"/>
    </font>
    <font>
      <sz val="11"/>
      <color rgb="FF006100"/>
      <name val="Aptos Narrow"/>
      <family val="2"/>
    </font>
    <font>
      <sz val="10"/>
      <color rgb="FF001122"/>
      <name val="Segoe UI"/>
      <family val="2"/>
    </font>
    <font>
      <i/>
      <sz val="8"/>
      <color rgb="FF595959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1F3864"/>
      <name val="Arial"/>
      <family val="2"/>
    </font>
    <font>
      <sz val="11"/>
      <color rgb="FF000000"/>
      <name val="Calibri"/>
      <family val="2"/>
    </font>
    <font>
      <i/>
      <sz val="7"/>
      <color rgb="FF595959"/>
      <name val="Arial"/>
      <family val="2"/>
    </font>
    <font>
      <b/>
      <sz val="11"/>
      <color rgb="FFFFFFFF"/>
      <name val="Source Sans Pro"/>
      <family val="2"/>
    </font>
    <font>
      <sz val="11"/>
      <color rgb="FF000000"/>
      <name val="Source Sans Pro"/>
      <family val="2"/>
    </font>
    <font>
      <sz val="11"/>
      <color rgb="FF001122"/>
      <name val="Source Sans Pro"/>
      <family val="2"/>
    </font>
    <font>
      <b/>
      <sz val="13"/>
      <color rgb="FFFFFFFF"/>
      <name val="Arial"/>
      <family val="2"/>
    </font>
    <font>
      <i/>
      <sz val="8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2E75B6"/>
      <name val="Arial"/>
      <family val="2"/>
    </font>
    <font>
      <b/>
      <sz val="9"/>
      <color rgb="FFC6591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156082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ACD"/>
        <bgColor rgb="FF000000"/>
      </patternFill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E6CC"/>
      </patternFill>
    </fill>
    <fill>
      <patternFill patternType="solid">
        <fgColor rgb="FFD9E1F2"/>
        <bgColor rgb="FFCCFFFF"/>
      </patternFill>
    </fill>
    <fill>
      <patternFill patternType="solid">
        <fgColor rgb="FFFFE6CC"/>
        <bgColor rgb="FFD9E1F2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0" fontId="3" fillId="0" borderId="0" xfId="0" applyFont="1"/>
    <xf numFmtId="10" fontId="3" fillId="0" borderId="0" xfId="0" applyNumberFormat="1" applyFont="1"/>
    <xf numFmtId="6" fontId="3" fillId="0" borderId="0" xfId="0" applyNumberFormat="1" applyFont="1"/>
    <xf numFmtId="10" fontId="3" fillId="0" borderId="0" xfId="1" applyNumberFormat="1" applyFont="1"/>
    <xf numFmtId="8" fontId="3" fillId="0" borderId="0" xfId="0" applyNumberFormat="1" applyFont="1"/>
    <xf numFmtId="9" fontId="3" fillId="0" borderId="0" xfId="0" applyNumberFormat="1" applyFont="1"/>
    <xf numFmtId="3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7" fillId="0" borderId="0" xfId="0" applyFont="1"/>
    <xf numFmtId="0" fontId="8" fillId="3" borderId="2" xfId="0" applyFont="1" applyFill="1" applyBorder="1"/>
    <xf numFmtId="0" fontId="8" fillId="3" borderId="3" xfId="0" applyFont="1" applyFill="1" applyBorder="1"/>
    <xf numFmtId="0" fontId="8" fillId="3" borderId="4" xfId="0" applyFont="1" applyFill="1" applyBorder="1"/>
    <xf numFmtId="0" fontId="9" fillId="0" borderId="5" xfId="0" applyFont="1" applyBorder="1"/>
    <xf numFmtId="0" fontId="9" fillId="0" borderId="0" xfId="0" applyFont="1"/>
    <xf numFmtId="0" fontId="9" fillId="0" borderId="6" xfId="0" applyFont="1" applyBorder="1"/>
    <xf numFmtId="0" fontId="7" fillId="0" borderId="5" xfId="0" applyFont="1" applyBorder="1"/>
    <xf numFmtId="3" fontId="7" fillId="0" borderId="0" xfId="0" applyNumberFormat="1" applyFont="1"/>
    <xf numFmtId="0" fontId="10" fillId="4" borderId="6" xfId="0" applyFont="1" applyFill="1" applyBorder="1"/>
    <xf numFmtId="10" fontId="10" fillId="4" borderId="6" xfId="0" applyNumberFormat="1" applyFont="1" applyFill="1" applyBorder="1"/>
    <xf numFmtId="0" fontId="7" fillId="0" borderId="6" xfId="0" applyFont="1" applyBorder="1"/>
    <xf numFmtId="10" fontId="7" fillId="0" borderId="6" xfId="0" applyNumberFormat="1" applyFont="1" applyBorder="1"/>
    <xf numFmtId="8" fontId="7" fillId="0" borderId="0" xfId="0" applyNumberFormat="1" applyFont="1"/>
    <xf numFmtId="6" fontId="7" fillId="0" borderId="0" xfId="0" applyNumberFormat="1" applyFont="1"/>
    <xf numFmtId="10" fontId="11" fillId="5" borderId="6" xfId="0" applyNumberFormat="1" applyFont="1" applyFill="1" applyBorder="1"/>
    <xf numFmtId="10" fontId="7" fillId="0" borderId="0" xfId="0" applyNumberFormat="1" applyFont="1"/>
    <xf numFmtId="9" fontId="7" fillId="0" borderId="0" xfId="0" applyNumberFormat="1" applyFont="1"/>
    <xf numFmtId="0" fontId="7" fillId="0" borderId="7" xfId="0" applyFont="1" applyBorder="1"/>
    <xf numFmtId="0" fontId="7" fillId="0" borderId="8" xfId="0" applyFont="1" applyBorder="1"/>
    <xf numFmtId="10" fontId="7" fillId="0" borderId="8" xfId="0" applyNumberFormat="1" applyFont="1" applyBorder="1"/>
    <xf numFmtId="0" fontId="7" fillId="0" borderId="9" xfId="0" applyFont="1" applyBorder="1"/>
    <xf numFmtId="3" fontId="12" fillId="0" borderId="6" xfId="0" applyNumberFormat="1" applyFont="1" applyBorder="1"/>
    <xf numFmtId="10" fontId="12" fillId="0" borderId="6" xfId="0" applyNumberFormat="1" applyFont="1" applyBorder="1"/>
    <xf numFmtId="6" fontId="12" fillId="0" borderId="9" xfId="0" applyNumberFormat="1" applyFont="1" applyBorder="1"/>
    <xf numFmtId="0" fontId="16" fillId="7" borderId="13" xfId="0" applyFont="1" applyFill="1" applyBorder="1" applyAlignment="1">
      <alignment wrapText="1"/>
    </xf>
    <xf numFmtId="10" fontId="17" fillId="7" borderId="14" xfId="0" applyNumberFormat="1" applyFont="1" applyFill="1" applyBorder="1"/>
    <xf numFmtId="0" fontId="16" fillId="6" borderId="13" xfId="0" applyFont="1" applyFill="1" applyBorder="1" applyAlignment="1">
      <alignment wrapText="1"/>
    </xf>
    <xf numFmtId="0" fontId="18" fillId="7" borderId="14" xfId="0" applyFont="1" applyFill="1" applyBorder="1"/>
    <xf numFmtId="0" fontId="18" fillId="0" borderId="0" xfId="0" applyFont="1"/>
    <xf numFmtId="0" fontId="13" fillId="6" borderId="15" xfId="0" applyFont="1" applyFill="1" applyBorder="1"/>
    <xf numFmtId="0" fontId="13" fillId="6" borderId="11" xfId="0" applyFont="1" applyFill="1" applyBorder="1"/>
    <xf numFmtId="0" fontId="19" fillId="8" borderId="12" xfId="0" applyFont="1" applyFill="1" applyBorder="1" applyAlignment="1">
      <alignment wrapText="1"/>
    </xf>
    <xf numFmtId="167" fontId="3" fillId="0" borderId="0" xfId="0" applyNumberFormat="1" applyFont="1"/>
    <xf numFmtId="0" fontId="20" fillId="3" borderId="2" xfId="0" applyFont="1" applyFill="1" applyBorder="1"/>
    <xf numFmtId="0" fontId="20" fillId="3" borderId="4" xfId="0" applyFont="1" applyFill="1" applyBorder="1"/>
    <xf numFmtId="0" fontId="21" fillId="0" borderId="5" xfId="0" applyFont="1" applyBorder="1"/>
    <xf numFmtId="10" fontId="21" fillId="0" borderId="6" xfId="0" applyNumberFormat="1" applyFont="1" applyBorder="1"/>
    <xf numFmtId="0" fontId="21" fillId="0" borderId="7" xfId="0" applyFont="1" applyBorder="1"/>
    <xf numFmtId="3" fontId="22" fillId="0" borderId="6" xfId="0" applyNumberFormat="1" applyFont="1" applyBorder="1"/>
    <xf numFmtId="6" fontId="22" fillId="0" borderId="9" xfId="0" applyNumberFormat="1" applyFont="1" applyBorder="1"/>
    <xf numFmtId="0" fontId="23" fillId="9" borderId="0" xfId="0" applyFont="1" applyFill="1" applyAlignment="1">
      <alignment wrapText="1"/>
    </xf>
    <xf numFmtId="0" fontId="24" fillId="10" borderId="0" xfId="0" applyFont="1" applyFill="1" applyAlignment="1">
      <alignment wrapText="1"/>
    </xf>
    <xf numFmtId="0" fontId="14" fillId="10" borderId="10" xfId="0" applyFont="1" applyFill="1" applyBorder="1" applyAlignment="1">
      <alignment wrapText="1"/>
    </xf>
    <xf numFmtId="0" fontId="14" fillId="10" borderId="11" xfId="0" applyFont="1" applyFill="1" applyBorder="1" applyAlignment="1">
      <alignment wrapText="1"/>
    </xf>
    <xf numFmtId="0" fontId="18" fillId="11" borderId="0" xfId="0" applyFont="1" applyFill="1"/>
    <xf numFmtId="0" fontId="15" fillId="9" borderId="16" xfId="0" applyFont="1" applyFill="1" applyBorder="1" applyAlignment="1">
      <alignment wrapText="1"/>
    </xf>
    <xf numFmtId="0" fontId="15" fillId="9" borderId="15" xfId="0" applyFont="1" applyFill="1" applyBorder="1" applyAlignment="1">
      <alignment wrapText="1"/>
    </xf>
    <xf numFmtId="0" fontId="15" fillId="9" borderId="11" xfId="0" applyFont="1" applyFill="1" applyBorder="1" applyAlignment="1">
      <alignment wrapText="1"/>
    </xf>
    <xf numFmtId="0" fontId="18" fillId="9" borderId="11" xfId="0" applyFont="1" applyFill="1" applyBorder="1"/>
    <xf numFmtId="0" fontId="14" fillId="9" borderId="15" xfId="0" applyFont="1" applyFill="1" applyBorder="1" applyAlignment="1">
      <alignment wrapText="1"/>
    </xf>
    <xf numFmtId="0" fontId="14" fillId="9" borderId="11" xfId="0" applyFont="1" applyFill="1" applyBorder="1" applyAlignment="1">
      <alignment wrapText="1"/>
    </xf>
    <xf numFmtId="0" fontId="16" fillId="12" borderId="13" xfId="0" applyFont="1" applyFill="1" applyBorder="1" applyAlignment="1">
      <alignment wrapText="1"/>
    </xf>
    <xf numFmtId="0" fontId="25" fillId="12" borderId="14" xfId="0" applyFont="1" applyFill="1" applyBorder="1" applyAlignment="1">
      <alignment wrapText="1"/>
    </xf>
    <xf numFmtId="3" fontId="25" fillId="12" borderId="14" xfId="0" applyNumberFormat="1" applyFont="1" applyFill="1" applyBorder="1" applyAlignment="1">
      <alignment wrapText="1"/>
    </xf>
    <xf numFmtId="3" fontId="26" fillId="12" borderId="14" xfId="0" applyNumberFormat="1" applyFont="1" applyFill="1" applyBorder="1" applyAlignment="1">
      <alignment wrapText="1"/>
    </xf>
    <xf numFmtId="10" fontId="25" fillId="12" borderId="14" xfId="0" applyNumberFormat="1" applyFont="1" applyFill="1" applyBorder="1" applyAlignment="1">
      <alignment wrapText="1"/>
    </xf>
    <xf numFmtId="10" fontId="16" fillId="12" borderId="14" xfId="0" applyNumberFormat="1" applyFont="1" applyFill="1" applyBorder="1" applyAlignment="1">
      <alignment wrapText="1"/>
    </xf>
    <xf numFmtId="10" fontId="26" fillId="12" borderId="14" xfId="0" applyNumberFormat="1" applyFont="1" applyFill="1" applyBorder="1" applyAlignment="1">
      <alignment wrapText="1"/>
    </xf>
    <xf numFmtId="0" fontId="16" fillId="11" borderId="13" xfId="0" applyFont="1" applyFill="1" applyBorder="1" applyAlignment="1">
      <alignment wrapText="1"/>
    </xf>
    <xf numFmtId="0" fontId="25" fillId="11" borderId="14" xfId="0" applyFont="1" applyFill="1" applyBorder="1" applyAlignment="1">
      <alignment wrapText="1"/>
    </xf>
    <xf numFmtId="3" fontId="26" fillId="11" borderId="14" xfId="0" applyNumberFormat="1" applyFont="1" applyFill="1" applyBorder="1" applyAlignment="1">
      <alignment wrapText="1"/>
    </xf>
    <xf numFmtId="10" fontId="25" fillId="11" borderId="14" xfId="0" applyNumberFormat="1" applyFont="1" applyFill="1" applyBorder="1" applyAlignment="1">
      <alignment wrapText="1"/>
    </xf>
    <xf numFmtId="10" fontId="16" fillId="11" borderId="14" xfId="0" applyNumberFormat="1" applyFont="1" applyFill="1" applyBorder="1" applyAlignment="1">
      <alignment wrapText="1"/>
    </xf>
    <xf numFmtId="10" fontId="26" fillId="11" borderId="14" xfId="0" applyNumberFormat="1" applyFont="1" applyFill="1" applyBorder="1" applyAlignment="1">
      <alignment wrapText="1"/>
    </xf>
    <xf numFmtId="8" fontId="25" fillId="12" borderId="14" xfId="0" applyNumberFormat="1" applyFont="1" applyFill="1" applyBorder="1" applyAlignment="1">
      <alignment wrapText="1"/>
    </xf>
    <xf numFmtId="8" fontId="16" fillId="12" borderId="14" xfId="0" applyNumberFormat="1" applyFont="1" applyFill="1" applyBorder="1" applyAlignment="1">
      <alignment wrapText="1"/>
    </xf>
    <xf numFmtId="8" fontId="26" fillId="12" borderId="14" xfId="0" applyNumberFormat="1" applyFont="1" applyFill="1" applyBorder="1" applyAlignment="1">
      <alignment wrapText="1"/>
    </xf>
    <xf numFmtId="6" fontId="25" fillId="11" borderId="14" xfId="0" applyNumberFormat="1" applyFont="1" applyFill="1" applyBorder="1" applyAlignment="1">
      <alignment wrapText="1"/>
    </xf>
    <xf numFmtId="6" fontId="16" fillId="11" borderId="14" xfId="0" applyNumberFormat="1" applyFont="1" applyFill="1" applyBorder="1" applyAlignment="1">
      <alignment wrapText="1"/>
    </xf>
    <xf numFmtId="6" fontId="26" fillId="11" borderId="14" xfId="0" applyNumberFormat="1" applyFont="1" applyFill="1" applyBorder="1" applyAlignment="1">
      <alignment wrapText="1"/>
    </xf>
    <xf numFmtId="0" fontId="27" fillId="13" borderId="14" xfId="0" applyFont="1" applyFill="1" applyBorder="1" applyAlignment="1">
      <alignment wrapText="1"/>
    </xf>
    <xf numFmtId="8" fontId="26" fillId="11" borderId="14" xfId="0" applyNumberFormat="1" applyFont="1" applyFill="1" applyBorder="1" applyAlignment="1">
      <alignment wrapText="1"/>
    </xf>
    <xf numFmtId="6" fontId="26" fillId="12" borderId="14" xfId="0" applyNumberFormat="1" applyFont="1" applyFill="1" applyBorder="1" applyAlignment="1">
      <alignment wrapText="1"/>
    </xf>
    <xf numFmtId="6" fontId="25" fillId="12" borderId="14" xfId="0" applyNumberFormat="1" applyFont="1" applyFill="1" applyBorder="1" applyAlignment="1">
      <alignment wrapText="1"/>
    </xf>
    <xf numFmtId="6" fontId="16" fillId="12" borderId="14" xfId="0" applyNumberFormat="1" applyFont="1" applyFill="1" applyBorder="1" applyAlignment="1">
      <alignment wrapText="1"/>
    </xf>
    <xf numFmtId="0" fontId="18" fillId="11" borderId="14" xfId="0" applyFont="1" applyFill="1" applyBorder="1"/>
    <xf numFmtId="0" fontId="18" fillId="12" borderId="14" xfId="0" applyFont="1" applyFill="1" applyBorder="1"/>
    <xf numFmtId="0" fontId="19" fillId="0" borderId="0" xfId="0" applyFont="1" applyAlignment="1">
      <alignment wrapText="1"/>
    </xf>
    <xf numFmtId="3" fontId="25" fillId="11" borderId="14" xfId="0" applyNumberFormat="1" applyFont="1" applyFill="1" applyBorder="1" applyAlignment="1">
      <alignment wrapText="1"/>
    </xf>
    <xf numFmtId="8" fontId="25" fillId="11" borderId="14" xfId="0" applyNumberFormat="1" applyFont="1" applyFill="1" applyBorder="1" applyAlignment="1">
      <alignment wrapText="1"/>
    </xf>
    <xf numFmtId="8" fontId="16" fillId="11" borderId="14" xfId="0" applyNumberFormat="1" applyFont="1" applyFill="1" applyBorder="1" applyAlignment="1">
      <alignment wrapText="1"/>
    </xf>
    <xf numFmtId="9" fontId="25" fillId="11" borderId="14" xfId="0" applyNumberFormat="1" applyFont="1" applyFill="1" applyBorder="1" applyAlignment="1">
      <alignment wrapText="1"/>
    </xf>
  </cellXfs>
  <cellStyles count="2">
    <cellStyle name="Normal" xfId="0" builtinId="0"/>
    <cellStyle name="Percent" xfId="1" builtinId="5"/>
  </cellStyles>
  <dxfs count="13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817F6-1050-485D-8E4F-E2BDB4057372}">
  <dimension ref="B2:I41"/>
  <sheetViews>
    <sheetView workbookViewId="0">
      <selection activeCell="C2" sqref="C2"/>
    </sheetView>
  </sheetViews>
  <sheetFormatPr defaultRowHeight="15.75" x14ac:dyDescent="0.25"/>
  <cols>
    <col min="2" max="2" width="15.25" bestFit="1" customWidth="1"/>
    <col min="3" max="3" width="18.375" bestFit="1" customWidth="1"/>
    <col min="4" max="4" width="17.25" bestFit="1" customWidth="1"/>
  </cols>
  <sheetData>
    <row r="2" spans="2:9" x14ac:dyDescent="0.25">
      <c r="B2" s="1"/>
      <c r="C2" s="1"/>
      <c r="D2" s="1"/>
    </row>
    <row r="3" spans="2:9" x14ac:dyDescent="0.25">
      <c r="B3" s="12"/>
      <c r="C3" s="12"/>
      <c r="D3" s="12"/>
      <c r="E3" s="12"/>
      <c r="F3" s="12"/>
      <c r="G3" s="12"/>
      <c r="H3" s="12"/>
      <c r="I3" s="12"/>
    </row>
    <row r="4" spans="2:9" ht="16.5" thickBot="1" x14ac:dyDescent="0.3">
      <c r="B4" s="12"/>
      <c r="C4" s="12"/>
      <c r="D4" s="12"/>
      <c r="E4" s="12"/>
      <c r="F4" s="12"/>
      <c r="G4" s="12"/>
      <c r="H4" s="12"/>
      <c r="I4" s="12"/>
    </row>
    <row r="5" spans="2:9" ht="16.5" thickBot="1" x14ac:dyDescent="0.3">
      <c r="B5" s="13" t="s">
        <v>36</v>
      </c>
      <c r="C5" s="14"/>
      <c r="D5" s="14"/>
      <c r="E5" s="14"/>
      <c r="F5" s="14"/>
      <c r="G5" s="14"/>
      <c r="H5" s="15"/>
      <c r="I5" s="12"/>
    </row>
    <row r="6" spans="2:9" x14ac:dyDescent="0.25">
      <c r="B6" s="16" t="s">
        <v>14</v>
      </c>
      <c r="C6" s="17" t="s">
        <v>24</v>
      </c>
      <c r="D6" s="12"/>
      <c r="E6" s="12"/>
      <c r="F6" s="12"/>
      <c r="G6" s="17" t="s">
        <v>25</v>
      </c>
      <c r="H6" s="18" t="s">
        <v>24</v>
      </c>
      <c r="I6" s="12"/>
    </row>
    <row r="7" spans="2:9" x14ac:dyDescent="0.25">
      <c r="B7" s="19" t="s">
        <v>21</v>
      </c>
      <c r="C7" s="20">
        <v>9300000</v>
      </c>
      <c r="D7" s="12"/>
      <c r="E7" s="12"/>
      <c r="F7" s="12"/>
      <c r="G7" s="12" t="s">
        <v>20</v>
      </c>
      <c r="H7" s="22">
        <v>0.18</v>
      </c>
      <c r="I7" s="12"/>
    </row>
    <row r="8" spans="2:9" x14ac:dyDescent="0.25">
      <c r="B8" s="19" t="s">
        <v>19</v>
      </c>
      <c r="C8" s="12">
        <v>0</v>
      </c>
      <c r="D8" s="12"/>
      <c r="E8" s="12"/>
      <c r="F8" s="12"/>
      <c r="G8" s="12" t="s">
        <v>18</v>
      </c>
      <c r="H8" s="24">
        <v>0.19769999999999999</v>
      </c>
      <c r="I8" s="12"/>
    </row>
    <row r="9" spans="2:9" x14ac:dyDescent="0.25">
      <c r="B9" s="19" t="s">
        <v>17</v>
      </c>
      <c r="C9" s="20">
        <v>534000</v>
      </c>
      <c r="D9" s="12"/>
      <c r="E9" s="12"/>
      <c r="F9" s="12"/>
      <c r="G9" s="12" t="s">
        <v>6</v>
      </c>
      <c r="H9" s="22">
        <v>2.5999999999999999E-2</v>
      </c>
      <c r="I9" s="12"/>
    </row>
    <row r="10" spans="2:9" x14ac:dyDescent="0.25">
      <c r="B10" s="19" t="s">
        <v>16</v>
      </c>
      <c r="C10" s="25">
        <v>222</v>
      </c>
      <c r="D10" s="12"/>
      <c r="E10" s="12"/>
      <c r="F10" s="12"/>
      <c r="G10" s="12" t="s">
        <v>4</v>
      </c>
      <c r="H10" s="24">
        <v>3.9E-2</v>
      </c>
      <c r="I10" s="12"/>
    </row>
    <row r="11" spans="2:9" x14ac:dyDescent="0.25">
      <c r="B11" s="19" t="s">
        <v>15</v>
      </c>
      <c r="C11" s="26">
        <v>34</v>
      </c>
      <c r="D11" s="12"/>
      <c r="E11" s="12"/>
      <c r="F11" s="12"/>
      <c r="G11" s="12" t="s">
        <v>0</v>
      </c>
      <c r="H11" s="27">
        <v>8.4000000000000005E-2</v>
      </c>
      <c r="I11" s="12"/>
    </row>
    <row r="12" spans="2:9" x14ac:dyDescent="0.25">
      <c r="B12" s="19" t="s">
        <v>0</v>
      </c>
      <c r="C12" s="28">
        <v>8.4000000000000005E-2</v>
      </c>
      <c r="D12" s="12"/>
      <c r="E12" s="12"/>
      <c r="F12" s="12"/>
      <c r="G12" s="12" t="s">
        <v>1</v>
      </c>
      <c r="H12" s="24">
        <v>7.5200000000000003E-2</v>
      </c>
      <c r="I12" s="12"/>
    </row>
    <row r="13" spans="2:9" x14ac:dyDescent="0.25">
      <c r="B13" s="19" t="s">
        <v>37</v>
      </c>
      <c r="C13" s="12"/>
      <c r="D13" s="12"/>
      <c r="E13" s="12"/>
      <c r="F13" s="12"/>
      <c r="G13" s="12"/>
      <c r="H13" s="23" t="s">
        <v>37</v>
      </c>
      <c r="I13" s="12"/>
    </row>
    <row r="14" spans="2:9" x14ac:dyDescent="0.25">
      <c r="B14" s="16" t="s">
        <v>14</v>
      </c>
      <c r="C14" s="17" t="s">
        <v>23</v>
      </c>
      <c r="D14" s="12"/>
      <c r="E14" s="12"/>
      <c r="F14" s="12"/>
      <c r="G14" s="17" t="s">
        <v>13</v>
      </c>
      <c r="H14" s="18" t="s">
        <v>23</v>
      </c>
      <c r="I14" s="12"/>
    </row>
    <row r="15" spans="2:9" x14ac:dyDescent="0.25">
      <c r="B15" s="19" t="s">
        <v>21</v>
      </c>
      <c r="C15" s="20">
        <v>3800000</v>
      </c>
      <c r="D15" s="12"/>
      <c r="E15" s="12"/>
      <c r="F15" s="12"/>
      <c r="G15" s="12" t="s">
        <v>20</v>
      </c>
      <c r="H15" s="22">
        <v>2.0500000000000001E-2</v>
      </c>
      <c r="I15" s="12"/>
    </row>
    <row r="16" spans="2:9" x14ac:dyDescent="0.25">
      <c r="B16" s="19" t="s">
        <v>19</v>
      </c>
      <c r="C16" s="12">
        <v>0</v>
      </c>
      <c r="D16" s="12"/>
      <c r="E16" s="12"/>
      <c r="F16" s="12"/>
      <c r="G16" s="12" t="s">
        <v>18</v>
      </c>
      <c r="H16" s="24">
        <v>2.9100000000000001E-2</v>
      </c>
      <c r="I16" s="12"/>
    </row>
    <row r="17" spans="2:9" x14ac:dyDescent="0.25">
      <c r="B17" s="19" t="s">
        <v>17</v>
      </c>
      <c r="C17" s="20">
        <v>-23300</v>
      </c>
      <c r="D17" s="12"/>
      <c r="E17" s="12"/>
      <c r="F17" s="12"/>
      <c r="G17" s="12" t="s">
        <v>6</v>
      </c>
      <c r="H17" s="27">
        <v>6.5000000000000002E-2</v>
      </c>
      <c r="I17" s="12"/>
    </row>
    <row r="18" spans="2:9" x14ac:dyDescent="0.25">
      <c r="B18" s="19" t="s">
        <v>16</v>
      </c>
      <c r="C18" s="25">
        <v>249</v>
      </c>
      <c r="D18" s="12"/>
      <c r="E18" s="12"/>
      <c r="F18" s="12"/>
      <c r="G18" s="12" t="s">
        <v>4</v>
      </c>
      <c r="H18" s="24">
        <v>4.8000000000000001E-2</v>
      </c>
      <c r="I18" s="12"/>
    </row>
    <row r="19" spans="2:9" x14ac:dyDescent="0.25">
      <c r="B19" s="19" t="s">
        <v>15</v>
      </c>
      <c r="C19" s="26">
        <v>37</v>
      </c>
      <c r="D19" s="12"/>
      <c r="E19" s="12"/>
      <c r="F19" s="12"/>
      <c r="G19" s="12" t="s">
        <v>0</v>
      </c>
      <c r="H19" s="22">
        <v>7.0699999999999999E-2</v>
      </c>
      <c r="I19" s="12"/>
    </row>
    <row r="20" spans="2:9" x14ac:dyDescent="0.25">
      <c r="B20" s="19" t="s">
        <v>0</v>
      </c>
      <c r="C20" s="28">
        <v>7.0999999999999994E-2</v>
      </c>
      <c r="D20" s="12"/>
      <c r="E20" s="12"/>
      <c r="F20" s="12"/>
      <c r="G20" s="12" t="s">
        <v>1</v>
      </c>
      <c r="H20" s="24">
        <v>7.1900000000000006E-2</v>
      </c>
      <c r="I20" s="12"/>
    </row>
    <row r="21" spans="2:9" x14ac:dyDescent="0.25">
      <c r="B21" s="19" t="s">
        <v>37</v>
      </c>
      <c r="C21" s="12"/>
      <c r="D21" s="12"/>
      <c r="E21" s="12"/>
      <c r="F21" s="12"/>
      <c r="G21" s="12"/>
      <c r="H21" s="23" t="s">
        <v>37</v>
      </c>
      <c r="I21" s="12"/>
    </row>
    <row r="22" spans="2:9" x14ac:dyDescent="0.25">
      <c r="B22" s="16" t="s">
        <v>14</v>
      </c>
      <c r="C22" s="17" t="s">
        <v>29</v>
      </c>
      <c r="D22" s="12"/>
      <c r="E22" s="12"/>
      <c r="F22" s="12"/>
      <c r="G22" s="17" t="s">
        <v>13</v>
      </c>
      <c r="H22" s="18" t="s">
        <v>29</v>
      </c>
      <c r="I22" s="12"/>
    </row>
    <row r="23" spans="2:9" x14ac:dyDescent="0.25">
      <c r="B23" s="19" t="s">
        <v>38</v>
      </c>
      <c r="C23" s="12">
        <v>154</v>
      </c>
      <c r="D23" s="12"/>
      <c r="E23" s="12"/>
      <c r="F23" s="12"/>
      <c r="G23" s="12" t="s">
        <v>10</v>
      </c>
      <c r="H23" s="27">
        <v>0.62450000000000006</v>
      </c>
      <c r="I23" s="12"/>
    </row>
    <row r="24" spans="2:9" x14ac:dyDescent="0.25">
      <c r="B24" s="19" t="s">
        <v>35</v>
      </c>
      <c r="C24" s="12">
        <v>96</v>
      </c>
      <c r="D24" s="12"/>
      <c r="E24" s="12"/>
      <c r="F24" s="12"/>
      <c r="G24" s="12" t="s">
        <v>8</v>
      </c>
      <c r="H24" s="24">
        <v>0.6381</v>
      </c>
      <c r="I24" s="12"/>
    </row>
    <row r="25" spans="2:9" x14ac:dyDescent="0.25">
      <c r="B25" s="19" t="s">
        <v>32</v>
      </c>
      <c r="C25" s="26">
        <v>126000</v>
      </c>
      <c r="D25" s="12"/>
      <c r="E25" s="12"/>
      <c r="F25" s="12"/>
      <c r="G25" s="12" t="s">
        <v>0</v>
      </c>
      <c r="H25" s="22">
        <v>8.6300000000000002E-2</v>
      </c>
      <c r="I25" s="12"/>
    </row>
    <row r="26" spans="2:9" x14ac:dyDescent="0.25">
      <c r="B26" s="19" t="s">
        <v>0</v>
      </c>
      <c r="C26" s="28">
        <v>8.5999999999999993E-2</v>
      </c>
      <c r="D26" s="12"/>
      <c r="E26" s="12"/>
      <c r="F26" s="12"/>
      <c r="G26" s="12" t="s">
        <v>1</v>
      </c>
      <c r="H26" s="24">
        <v>8.2799999999999999E-2</v>
      </c>
      <c r="I26" s="12"/>
    </row>
    <row r="27" spans="2:9" x14ac:dyDescent="0.25">
      <c r="B27" s="19" t="s">
        <v>37</v>
      </c>
      <c r="C27" s="12"/>
      <c r="D27" s="12"/>
      <c r="E27" s="12"/>
      <c r="F27" s="12"/>
      <c r="G27" s="12"/>
      <c r="H27" s="23" t="s">
        <v>37</v>
      </c>
      <c r="I27" s="12"/>
    </row>
    <row r="28" spans="2:9" x14ac:dyDescent="0.25">
      <c r="B28" s="16" t="s">
        <v>14</v>
      </c>
      <c r="C28" s="17" t="s">
        <v>12</v>
      </c>
      <c r="D28" s="12"/>
      <c r="E28" s="12"/>
      <c r="F28" s="12"/>
      <c r="G28" s="17" t="s">
        <v>13</v>
      </c>
      <c r="H28" s="18" t="s">
        <v>12</v>
      </c>
      <c r="I28" s="12"/>
    </row>
    <row r="29" spans="2:9" x14ac:dyDescent="0.25">
      <c r="B29" s="19" t="s">
        <v>11</v>
      </c>
      <c r="C29" s="20">
        <v>8804</v>
      </c>
      <c r="D29" s="12"/>
      <c r="E29" s="12"/>
      <c r="F29" s="12"/>
      <c r="G29" s="12" t="s">
        <v>10</v>
      </c>
      <c r="H29" s="22">
        <v>0.92490000000000006</v>
      </c>
      <c r="I29" s="12"/>
    </row>
    <row r="30" spans="2:9" x14ac:dyDescent="0.25">
      <c r="B30" s="19" t="s">
        <v>9</v>
      </c>
      <c r="C30" s="12">
        <v>640</v>
      </c>
      <c r="D30" s="12"/>
      <c r="E30" s="12"/>
      <c r="F30" s="12"/>
      <c r="G30" s="12" t="s">
        <v>8</v>
      </c>
      <c r="H30" s="24">
        <v>0.91400000000000003</v>
      </c>
      <c r="I30" s="12"/>
    </row>
    <row r="31" spans="2:9" x14ac:dyDescent="0.25">
      <c r="B31" s="19" t="s">
        <v>7</v>
      </c>
      <c r="C31" s="12">
        <v>423</v>
      </c>
      <c r="D31" s="12"/>
      <c r="E31" s="12"/>
      <c r="F31" s="12"/>
      <c r="G31" s="12" t="s">
        <v>6</v>
      </c>
      <c r="H31" s="22">
        <v>3.0000000000000001E-3</v>
      </c>
      <c r="I31" s="12"/>
    </row>
    <row r="32" spans="2:9" x14ac:dyDescent="0.25">
      <c r="B32" s="19" t="s">
        <v>5</v>
      </c>
      <c r="C32" s="29">
        <v>0.08</v>
      </c>
      <c r="D32" s="12"/>
      <c r="E32" s="12"/>
      <c r="F32" s="12"/>
      <c r="G32" s="12" t="s">
        <v>4</v>
      </c>
      <c r="H32" s="24">
        <v>3.2000000000000001E-2</v>
      </c>
      <c r="I32" s="12"/>
    </row>
    <row r="33" spans="2:9" x14ac:dyDescent="0.25">
      <c r="B33" s="19" t="s">
        <v>3</v>
      </c>
      <c r="C33" s="25">
        <v>1762</v>
      </c>
      <c r="D33" s="12"/>
      <c r="E33" s="12"/>
      <c r="F33" s="12"/>
      <c r="G33" s="12" t="s">
        <v>0</v>
      </c>
      <c r="H33" s="22">
        <v>5.5E-2</v>
      </c>
      <c r="I33" s="12"/>
    </row>
    <row r="34" spans="2:9" x14ac:dyDescent="0.25">
      <c r="B34" s="19" t="s">
        <v>2</v>
      </c>
      <c r="C34" s="26">
        <v>256</v>
      </c>
      <c r="D34" s="12"/>
      <c r="E34" s="12"/>
      <c r="F34" s="12"/>
      <c r="G34" s="12" t="s">
        <v>1</v>
      </c>
      <c r="H34" s="24">
        <v>5.1400000000000001E-2</v>
      </c>
      <c r="I34" s="12"/>
    </row>
    <row r="35" spans="2:9" ht="16.5" thickBot="1" x14ac:dyDescent="0.3">
      <c r="B35" s="30" t="s">
        <v>0</v>
      </c>
      <c r="C35" s="32">
        <v>5.5E-2</v>
      </c>
      <c r="D35" s="31" t="s">
        <v>37</v>
      </c>
      <c r="E35" s="31" t="s">
        <v>37</v>
      </c>
      <c r="F35" s="31" t="s">
        <v>37</v>
      </c>
      <c r="G35" s="31" t="s">
        <v>37</v>
      </c>
      <c r="H35" s="33" t="s">
        <v>37</v>
      </c>
      <c r="I35" s="12"/>
    </row>
    <row r="36" spans="2:9" ht="16.5" thickBot="1" x14ac:dyDescent="0.3">
      <c r="B36" s="12"/>
      <c r="C36" s="12"/>
      <c r="D36" s="12"/>
      <c r="E36" s="12"/>
      <c r="F36" s="12"/>
      <c r="G36" s="12"/>
      <c r="H36" s="12"/>
      <c r="I36" s="12"/>
    </row>
    <row r="37" spans="2:9" ht="16.5" thickBot="1" x14ac:dyDescent="0.3">
      <c r="B37" s="13" t="s">
        <v>39</v>
      </c>
      <c r="C37" s="15"/>
      <c r="D37" s="12"/>
      <c r="E37" s="12"/>
      <c r="F37" s="12"/>
      <c r="G37" s="12"/>
      <c r="H37" s="12"/>
      <c r="I37" s="12"/>
    </row>
    <row r="38" spans="2:9" x14ac:dyDescent="0.25">
      <c r="B38" s="19" t="s">
        <v>40</v>
      </c>
      <c r="C38" s="34">
        <v>14169</v>
      </c>
      <c r="D38" s="12"/>
      <c r="E38" s="12"/>
      <c r="F38" s="12"/>
      <c r="G38" s="12"/>
      <c r="H38" s="12"/>
      <c r="I38" s="12"/>
    </row>
    <row r="39" spans="2:9" x14ac:dyDescent="0.25">
      <c r="B39" s="19" t="s">
        <v>41</v>
      </c>
      <c r="C39" s="34">
        <v>15850</v>
      </c>
      <c r="D39" s="12"/>
      <c r="E39" s="12"/>
      <c r="F39" s="12"/>
      <c r="G39" s="12"/>
      <c r="H39" s="12"/>
      <c r="I39" s="12"/>
    </row>
    <row r="40" spans="2:9" x14ac:dyDescent="0.25">
      <c r="B40" s="19" t="s">
        <v>42</v>
      </c>
      <c r="C40" s="35">
        <v>2.4E-2</v>
      </c>
      <c r="D40" s="12"/>
      <c r="E40" s="12"/>
      <c r="F40" s="12"/>
      <c r="G40" s="12"/>
      <c r="H40" s="12"/>
      <c r="I40" s="12"/>
    </row>
    <row r="41" spans="2:9" ht="16.5" thickBot="1" x14ac:dyDescent="0.3">
      <c r="B41" s="30" t="s">
        <v>43</v>
      </c>
      <c r="C41" s="36">
        <v>91802</v>
      </c>
      <c r="D41" s="12"/>
      <c r="E41" s="12"/>
      <c r="F41" s="12"/>
      <c r="G41" s="12"/>
      <c r="H41" s="12"/>
      <c r="I41" s="12"/>
    </row>
  </sheetData>
  <mergeCells count="2">
    <mergeCell ref="B5:H5"/>
    <mergeCell ref="B37:C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8AC68-64B9-45C6-8869-49761FB5F44B}">
  <dimension ref="B1:I40"/>
  <sheetViews>
    <sheetView topLeftCell="A15" workbookViewId="0">
      <selection activeCell="C44" sqref="C44"/>
    </sheetView>
  </sheetViews>
  <sheetFormatPr defaultRowHeight="15.75" x14ac:dyDescent="0.25"/>
  <sheetData>
    <row r="1" spans="2:9" ht="16.5" thickBot="1" x14ac:dyDescent="0.3"/>
    <row r="2" spans="2:9" ht="16.5" thickBot="1" x14ac:dyDescent="0.3">
      <c r="B2" s="12"/>
      <c r="C2" s="13" t="s">
        <v>36</v>
      </c>
      <c r="D2" s="14"/>
      <c r="E2" s="14"/>
      <c r="F2" s="14"/>
      <c r="G2" s="14"/>
      <c r="H2" s="14"/>
      <c r="I2" s="15"/>
    </row>
    <row r="3" spans="2:9" x14ac:dyDescent="0.25">
      <c r="B3" s="12"/>
      <c r="C3" s="16" t="s">
        <v>14</v>
      </c>
      <c r="D3" s="17" t="s">
        <v>24</v>
      </c>
      <c r="E3" s="12"/>
      <c r="F3" s="12"/>
      <c r="G3" s="12"/>
      <c r="H3" s="17" t="s">
        <v>25</v>
      </c>
      <c r="I3" s="18" t="s">
        <v>24</v>
      </c>
    </row>
    <row r="4" spans="2:9" x14ac:dyDescent="0.25">
      <c r="B4" s="12"/>
      <c r="C4" s="19" t="s">
        <v>21</v>
      </c>
      <c r="D4" s="20">
        <v>28000000</v>
      </c>
      <c r="E4" s="12"/>
      <c r="F4" s="12"/>
      <c r="G4" s="12"/>
      <c r="H4" s="12" t="s">
        <v>20</v>
      </c>
      <c r="I4" s="22">
        <v>0.21</v>
      </c>
    </row>
    <row r="5" spans="2:9" x14ac:dyDescent="0.25">
      <c r="B5" s="12"/>
      <c r="C5" s="19" t="s">
        <v>19</v>
      </c>
      <c r="D5" s="12">
        <v>0</v>
      </c>
      <c r="E5" s="12"/>
      <c r="F5" s="12"/>
      <c r="G5" s="12"/>
      <c r="H5" s="12" t="s">
        <v>18</v>
      </c>
      <c r="I5" s="24">
        <v>0.14319999999999999</v>
      </c>
    </row>
    <row r="6" spans="2:9" x14ac:dyDescent="0.25">
      <c r="B6" s="12"/>
      <c r="C6" s="19" t="s">
        <v>17</v>
      </c>
      <c r="D6" s="20">
        <v>112000</v>
      </c>
      <c r="E6" s="12"/>
      <c r="F6" s="12"/>
      <c r="G6" s="12"/>
      <c r="H6" s="12" t="s">
        <v>6</v>
      </c>
      <c r="I6" s="22">
        <v>1.7999999999999999E-2</v>
      </c>
    </row>
    <row r="7" spans="2:9" x14ac:dyDescent="0.25">
      <c r="B7" s="12"/>
      <c r="C7" s="19" t="s">
        <v>16</v>
      </c>
      <c r="D7" s="25">
        <v>183</v>
      </c>
      <c r="E7" s="12"/>
      <c r="F7" s="12"/>
      <c r="G7" s="12"/>
      <c r="H7" s="12" t="s">
        <v>4</v>
      </c>
      <c r="I7" s="24">
        <v>4.1000000000000002E-2</v>
      </c>
    </row>
    <row r="8" spans="2:9" x14ac:dyDescent="0.25">
      <c r="B8" s="12"/>
      <c r="C8" s="19" t="s">
        <v>15</v>
      </c>
      <c r="D8" s="26">
        <v>29</v>
      </c>
      <c r="E8" s="12"/>
      <c r="F8" s="12"/>
      <c r="G8" s="12"/>
      <c r="H8" s="12" t="s">
        <v>0</v>
      </c>
      <c r="I8" s="27">
        <v>8.6400000000000005E-2</v>
      </c>
    </row>
    <row r="9" spans="2:9" x14ac:dyDescent="0.25">
      <c r="B9" s="12"/>
      <c r="C9" s="19" t="s">
        <v>0</v>
      </c>
      <c r="D9" s="28">
        <v>8.5999999999999993E-2</v>
      </c>
      <c r="E9" s="12"/>
      <c r="F9" s="12"/>
      <c r="G9" s="12"/>
      <c r="H9" s="12" t="s">
        <v>1</v>
      </c>
      <c r="I9" s="24">
        <v>7.5499999999999998E-2</v>
      </c>
    </row>
    <row r="10" spans="2:9" x14ac:dyDescent="0.25">
      <c r="B10" s="12"/>
      <c r="C10" s="19" t="s">
        <v>37</v>
      </c>
      <c r="D10" s="12"/>
      <c r="E10" s="12"/>
      <c r="F10" s="12"/>
      <c r="G10" s="12"/>
      <c r="H10" s="12"/>
      <c r="I10" s="23" t="s">
        <v>37</v>
      </c>
    </row>
    <row r="11" spans="2:9" x14ac:dyDescent="0.25">
      <c r="B11" s="12"/>
      <c r="C11" s="16" t="s">
        <v>14</v>
      </c>
      <c r="D11" s="17" t="s">
        <v>23</v>
      </c>
      <c r="E11" s="12"/>
      <c r="F11" s="12"/>
      <c r="G11" s="12"/>
      <c r="H11" s="17" t="s">
        <v>13</v>
      </c>
      <c r="I11" s="18" t="s">
        <v>23</v>
      </c>
    </row>
    <row r="12" spans="2:9" x14ac:dyDescent="0.25">
      <c r="B12" s="12"/>
      <c r="C12" s="19" t="s">
        <v>21</v>
      </c>
      <c r="D12" s="20">
        <v>2200000</v>
      </c>
      <c r="E12" s="12"/>
      <c r="F12" s="12"/>
      <c r="G12" s="12"/>
      <c r="H12" s="12" t="s">
        <v>20</v>
      </c>
      <c r="I12" s="22">
        <v>0.14000000000000001</v>
      </c>
    </row>
    <row r="13" spans="2:9" x14ac:dyDescent="0.25">
      <c r="B13" s="12"/>
      <c r="C13" s="19" t="s">
        <v>19</v>
      </c>
      <c r="D13" s="12">
        <v>70000</v>
      </c>
      <c r="E13" s="12"/>
      <c r="F13" s="12"/>
      <c r="G13" s="12"/>
      <c r="H13" s="12" t="s">
        <v>18</v>
      </c>
      <c r="I13" s="24">
        <v>9.9500000000000005E-2</v>
      </c>
    </row>
    <row r="14" spans="2:9" x14ac:dyDescent="0.25">
      <c r="B14" s="12"/>
      <c r="C14" s="19" t="s">
        <v>17</v>
      </c>
      <c r="D14" s="20">
        <v>-27100</v>
      </c>
      <c r="E14" s="12"/>
      <c r="F14" s="12"/>
      <c r="G14" s="12"/>
      <c r="H14" s="12" t="s">
        <v>6</v>
      </c>
      <c r="I14" s="27">
        <v>5.3999999999999999E-2</v>
      </c>
    </row>
    <row r="15" spans="2:9" x14ac:dyDescent="0.25">
      <c r="B15" s="12"/>
      <c r="C15" s="19" t="s">
        <v>16</v>
      </c>
      <c r="D15" s="25">
        <v>234</v>
      </c>
      <c r="E15" s="12"/>
      <c r="F15" s="12"/>
      <c r="G15" s="12"/>
      <c r="H15" s="12" t="s">
        <v>4</v>
      </c>
      <c r="I15" s="24">
        <v>4.9000000000000002E-2</v>
      </c>
    </row>
    <row r="16" spans="2:9" x14ac:dyDescent="0.25">
      <c r="B16" s="12"/>
      <c r="C16" s="19" t="s">
        <v>15</v>
      </c>
      <c r="D16" s="26">
        <v>30</v>
      </c>
      <c r="E16" s="12"/>
      <c r="F16" s="12"/>
      <c r="G16" s="12"/>
      <c r="H16" s="12" t="s">
        <v>0</v>
      </c>
      <c r="I16" s="22">
        <v>7.0699999999999999E-2</v>
      </c>
    </row>
    <row r="17" spans="2:9" x14ac:dyDescent="0.25">
      <c r="B17" s="12"/>
      <c r="C17" s="19" t="s">
        <v>0</v>
      </c>
      <c r="D17" s="28">
        <v>7.0999999999999994E-2</v>
      </c>
      <c r="E17" s="12"/>
      <c r="F17" s="12"/>
      <c r="G17" s="12"/>
      <c r="H17" s="12" t="s">
        <v>1</v>
      </c>
      <c r="I17" s="24">
        <v>7.2800000000000004E-2</v>
      </c>
    </row>
    <row r="18" spans="2:9" x14ac:dyDescent="0.25">
      <c r="B18" s="12"/>
      <c r="C18" s="19" t="s">
        <v>37</v>
      </c>
      <c r="D18" s="12"/>
      <c r="E18" s="12"/>
      <c r="F18" s="12"/>
      <c r="G18" s="12"/>
      <c r="H18" s="12"/>
      <c r="I18" s="23" t="s">
        <v>37</v>
      </c>
    </row>
    <row r="19" spans="2:9" x14ac:dyDescent="0.25">
      <c r="B19" s="12"/>
      <c r="C19" s="16" t="s">
        <v>14</v>
      </c>
      <c r="D19" s="17" t="s">
        <v>29</v>
      </c>
      <c r="E19" s="12"/>
      <c r="F19" s="12"/>
      <c r="G19" s="12"/>
      <c r="H19" s="17" t="s">
        <v>13</v>
      </c>
      <c r="I19" s="18" t="s">
        <v>22</v>
      </c>
    </row>
    <row r="20" spans="2:9" x14ac:dyDescent="0.25">
      <c r="B20" s="12"/>
      <c r="C20" s="19" t="s">
        <v>38</v>
      </c>
      <c r="D20" s="12">
        <v>206</v>
      </c>
      <c r="E20" s="12"/>
      <c r="F20" s="12"/>
      <c r="G20" s="12"/>
      <c r="H20" s="12" t="s">
        <v>10</v>
      </c>
      <c r="I20" s="27">
        <v>0.66900000000000004</v>
      </c>
    </row>
    <row r="21" spans="2:9" x14ac:dyDescent="0.25">
      <c r="B21" s="12"/>
      <c r="C21" s="19" t="s">
        <v>35</v>
      </c>
      <c r="D21" s="12">
        <v>128</v>
      </c>
      <c r="E21" s="12"/>
      <c r="F21" s="12"/>
      <c r="G21" s="12"/>
      <c r="H21" s="12" t="s">
        <v>8</v>
      </c>
      <c r="I21" s="24">
        <v>0.61950000000000005</v>
      </c>
    </row>
    <row r="22" spans="2:9" x14ac:dyDescent="0.25">
      <c r="B22" s="12"/>
      <c r="C22" s="19" t="s">
        <v>37</v>
      </c>
      <c r="D22" s="12"/>
      <c r="E22" s="12"/>
      <c r="F22" s="12"/>
      <c r="G22" s="12"/>
      <c r="H22" s="12"/>
      <c r="I22" s="21" t="s">
        <v>37</v>
      </c>
    </row>
    <row r="23" spans="2:9" x14ac:dyDescent="0.25">
      <c r="B23" s="12"/>
      <c r="C23" s="19" t="s">
        <v>32</v>
      </c>
      <c r="D23" s="26">
        <v>256000</v>
      </c>
      <c r="E23" s="12"/>
      <c r="F23" s="12"/>
      <c r="G23" s="12"/>
      <c r="H23" s="12"/>
      <c r="I23" s="23" t="s">
        <v>37</v>
      </c>
    </row>
    <row r="24" spans="2:9" x14ac:dyDescent="0.25">
      <c r="B24" s="12"/>
      <c r="C24" s="19" t="s">
        <v>37</v>
      </c>
      <c r="D24" s="12"/>
      <c r="E24" s="12"/>
      <c r="F24" s="12"/>
      <c r="G24" s="12"/>
      <c r="H24" s="12" t="s">
        <v>0</v>
      </c>
      <c r="I24" s="22">
        <v>7.9299999999999995E-2</v>
      </c>
    </row>
    <row r="25" spans="2:9" x14ac:dyDescent="0.25">
      <c r="B25" s="12"/>
      <c r="C25" s="19" t="s">
        <v>0</v>
      </c>
      <c r="D25" s="28">
        <v>7.9000000000000001E-2</v>
      </c>
      <c r="E25" s="12"/>
      <c r="F25" s="12"/>
      <c r="G25" s="12"/>
      <c r="H25" s="12" t="s">
        <v>1</v>
      </c>
      <c r="I25" s="24">
        <v>7.6100000000000001E-2</v>
      </c>
    </row>
    <row r="26" spans="2:9" x14ac:dyDescent="0.25">
      <c r="B26" s="12"/>
      <c r="C26" s="19" t="s">
        <v>37</v>
      </c>
      <c r="D26" s="12"/>
      <c r="E26" s="12"/>
      <c r="F26" s="12"/>
      <c r="G26" s="12"/>
      <c r="H26" s="12"/>
      <c r="I26" s="23" t="s">
        <v>37</v>
      </c>
    </row>
    <row r="27" spans="2:9" x14ac:dyDescent="0.25">
      <c r="B27" s="12"/>
      <c r="C27" s="16" t="s">
        <v>14</v>
      </c>
      <c r="D27" s="17" t="s">
        <v>12</v>
      </c>
      <c r="E27" s="12"/>
      <c r="F27" s="12"/>
      <c r="G27" s="12"/>
      <c r="H27" s="17" t="s">
        <v>13</v>
      </c>
      <c r="I27" s="18" t="s">
        <v>12</v>
      </c>
    </row>
    <row r="28" spans="2:9" x14ac:dyDescent="0.25">
      <c r="B28" s="12"/>
      <c r="C28" s="19" t="s">
        <v>11</v>
      </c>
      <c r="D28" s="20">
        <v>8654</v>
      </c>
      <c r="E28" s="12"/>
      <c r="F28" s="12"/>
      <c r="G28" s="12"/>
      <c r="H28" s="12" t="s">
        <v>10</v>
      </c>
      <c r="I28" s="22">
        <v>0.82430000000000003</v>
      </c>
    </row>
    <row r="29" spans="2:9" x14ac:dyDescent="0.25">
      <c r="B29" s="12"/>
      <c r="C29" s="19" t="s">
        <v>9</v>
      </c>
      <c r="D29" s="12">
        <v>889</v>
      </c>
      <c r="E29" s="12"/>
      <c r="F29" s="12"/>
      <c r="G29" s="12"/>
      <c r="H29" s="12" t="s">
        <v>8</v>
      </c>
      <c r="I29" s="24">
        <v>0.87780000000000002</v>
      </c>
    </row>
    <row r="30" spans="2:9" x14ac:dyDescent="0.25">
      <c r="B30" s="12"/>
      <c r="C30" s="19" t="s">
        <v>7</v>
      </c>
      <c r="D30" s="12">
        <v>355</v>
      </c>
      <c r="E30" s="12"/>
      <c r="F30" s="12"/>
      <c r="G30" s="12"/>
      <c r="H30" s="12" t="s">
        <v>6</v>
      </c>
      <c r="I30" s="22">
        <v>-2E-3</v>
      </c>
    </row>
    <row r="31" spans="2:9" x14ac:dyDescent="0.25">
      <c r="B31" s="12"/>
      <c r="C31" s="19" t="s">
        <v>5</v>
      </c>
      <c r="D31" s="29">
        <v>0.18</v>
      </c>
      <c r="E31" s="12"/>
      <c r="F31" s="12"/>
      <c r="G31" s="12"/>
      <c r="H31" s="12" t="s">
        <v>4</v>
      </c>
      <c r="I31" s="24">
        <v>0.02</v>
      </c>
    </row>
    <row r="32" spans="2:9" x14ac:dyDescent="0.25">
      <c r="B32" s="12"/>
      <c r="C32" s="19" t="s">
        <v>3</v>
      </c>
      <c r="D32" s="25">
        <v>1681</v>
      </c>
      <c r="E32" s="12"/>
      <c r="F32" s="12"/>
      <c r="G32" s="12"/>
      <c r="H32" s="12" t="s">
        <v>0</v>
      </c>
      <c r="I32" s="22">
        <v>5.6500000000000002E-2</v>
      </c>
    </row>
    <row r="33" spans="2:9" x14ac:dyDescent="0.25">
      <c r="B33" s="12"/>
      <c r="C33" s="19" t="s">
        <v>2</v>
      </c>
      <c r="D33" s="26">
        <v>325000</v>
      </c>
      <c r="E33" s="12"/>
      <c r="F33" s="12"/>
      <c r="G33" s="12"/>
      <c r="H33" s="12" t="s">
        <v>1</v>
      </c>
      <c r="I33" s="24">
        <v>5.2999999999999999E-2</v>
      </c>
    </row>
    <row r="34" spans="2:9" ht="16.5" thickBot="1" x14ac:dyDescent="0.3">
      <c r="B34" s="12"/>
      <c r="C34" s="30" t="s">
        <v>0</v>
      </c>
      <c r="D34" s="32">
        <v>5.7000000000000002E-2</v>
      </c>
      <c r="E34" s="31" t="s">
        <v>37</v>
      </c>
      <c r="F34" s="31" t="s">
        <v>37</v>
      </c>
      <c r="G34" s="31" t="s">
        <v>37</v>
      </c>
      <c r="H34" s="31" t="s">
        <v>37</v>
      </c>
      <c r="I34" s="33" t="s">
        <v>37</v>
      </c>
    </row>
    <row r="35" spans="2:9" ht="16.5" thickBot="1" x14ac:dyDescent="0.3">
      <c r="B35" s="12"/>
      <c r="C35" s="12"/>
      <c r="D35" s="12"/>
      <c r="E35" s="12"/>
      <c r="F35" s="12"/>
      <c r="G35" s="12"/>
      <c r="H35" s="12"/>
      <c r="I35" s="12"/>
    </row>
    <row r="36" spans="2:9" ht="16.5" thickBot="1" x14ac:dyDescent="0.3">
      <c r="B36" s="12"/>
      <c r="C36" s="13" t="s">
        <v>39</v>
      </c>
      <c r="D36" s="15"/>
      <c r="E36" s="12"/>
      <c r="F36" s="12"/>
      <c r="G36" s="12"/>
      <c r="H36" s="12"/>
      <c r="I36" s="12"/>
    </row>
    <row r="37" spans="2:9" x14ac:dyDescent="0.25">
      <c r="B37" s="12"/>
      <c r="C37" s="19" t="s">
        <v>40</v>
      </c>
      <c r="D37" s="34">
        <v>20811</v>
      </c>
      <c r="E37" s="12"/>
      <c r="F37" s="12"/>
      <c r="G37" s="12"/>
      <c r="H37" s="12"/>
      <c r="I37" s="12"/>
    </row>
    <row r="38" spans="2:9" x14ac:dyDescent="0.25">
      <c r="B38" s="12"/>
      <c r="C38" s="19" t="s">
        <v>41</v>
      </c>
      <c r="D38" s="34">
        <v>22444</v>
      </c>
      <c r="E38" s="12"/>
      <c r="F38" s="12"/>
      <c r="G38" s="12"/>
      <c r="H38" s="12"/>
      <c r="I38" s="12"/>
    </row>
    <row r="39" spans="2:9" x14ac:dyDescent="0.25">
      <c r="B39" s="12"/>
      <c r="C39" s="19" t="s">
        <v>42</v>
      </c>
      <c r="D39" s="24">
        <v>1.6E-2</v>
      </c>
      <c r="E39" s="12"/>
      <c r="F39" s="12"/>
      <c r="G39" s="12"/>
      <c r="H39" s="12"/>
      <c r="I39" s="12"/>
    </row>
    <row r="40" spans="2:9" ht="16.5" thickBot="1" x14ac:dyDescent="0.3">
      <c r="B40" s="12"/>
      <c r="C40" s="30" t="s">
        <v>43</v>
      </c>
      <c r="D40" s="36">
        <v>59186</v>
      </c>
      <c r="E40" s="12"/>
      <c r="F40" s="12"/>
      <c r="G40" s="12"/>
      <c r="H40" s="12"/>
      <c r="I40" s="12"/>
    </row>
  </sheetData>
  <mergeCells count="2">
    <mergeCell ref="C2:I2"/>
    <mergeCell ref="C36:D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1C11B-D7B5-425C-98DC-209A5A51A2B6}">
  <dimension ref="B1:I41"/>
  <sheetViews>
    <sheetView showGridLines="0" workbookViewId="0">
      <selection activeCell="M17" sqref="M17"/>
    </sheetView>
  </sheetViews>
  <sheetFormatPr defaultRowHeight="15.75" x14ac:dyDescent="0.25"/>
  <cols>
    <col min="1" max="1" width="2.375" style="2" customWidth="1"/>
    <col min="2" max="2" width="24.125" style="2" bestFit="1" customWidth="1"/>
    <col min="3" max="3" width="10.875" style="2" bestFit="1" customWidth="1"/>
    <col min="4" max="4" width="9.875" style="2" bestFit="1" customWidth="1"/>
    <col min="5" max="6" width="9" style="2"/>
    <col min="7" max="7" width="30.75" style="2" bestFit="1" customWidth="1"/>
    <col min="8" max="8" width="14.125" style="2" bestFit="1" customWidth="1"/>
    <col min="9" max="16384" width="9" style="2"/>
  </cols>
  <sheetData>
    <row r="1" spans="2:9" ht="10.5" customHeight="1" thickBot="1" x14ac:dyDescent="0.3"/>
    <row r="2" spans="2:9" ht="16.5" thickBot="1" x14ac:dyDescent="0.3">
      <c r="B2" s="11" t="s">
        <v>27</v>
      </c>
      <c r="C2" s="10" t="s">
        <v>26</v>
      </c>
    </row>
    <row r="4" spans="2:9" x14ac:dyDescent="0.25">
      <c r="B4" s="9" t="s">
        <v>14</v>
      </c>
      <c r="C4" s="9" t="s">
        <v>24</v>
      </c>
      <c r="D4" s="9" t="s">
        <v>52</v>
      </c>
      <c r="G4" s="9" t="s">
        <v>25</v>
      </c>
      <c r="H4" s="9" t="s">
        <v>24</v>
      </c>
      <c r="I4" s="9" t="s">
        <v>52</v>
      </c>
    </row>
    <row r="5" spans="2:9" x14ac:dyDescent="0.25">
      <c r="B5" s="2" t="s">
        <v>21</v>
      </c>
      <c r="C5" s="8">
        <v>30500000</v>
      </c>
      <c r="D5" s="8">
        <v>95300000</v>
      </c>
      <c r="G5" s="2" t="s">
        <v>20</v>
      </c>
      <c r="H5" s="3">
        <v>0.2346</v>
      </c>
      <c r="I5" s="3">
        <v>0.1782</v>
      </c>
    </row>
    <row r="6" spans="2:9" x14ac:dyDescent="0.25">
      <c r="B6" s="2" t="s">
        <v>19</v>
      </c>
      <c r="C6" s="8">
        <v>525000</v>
      </c>
      <c r="D6" s="8">
        <v>631000</v>
      </c>
      <c r="G6" s="2" t="s">
        <v>18</v>
      </c>
      <c r="H6" s="3">
        <v>0.128</v>
      </c>
      <c r="I6" s="3">
        <v>0.1242</v>
      </c>
    </row>
    <row r="7" spans="2:9" x14ac:dyDescent="0.25">
      <c r="B7" s="2" t="s">
        <v>17</v>
      </c>
      <c r="C7" s="8">
        <v>151000</v>
      </c>
      <c r="D7" s="8">
        <v>1200000</v>
      </c>
      <c r="G7" s="2" t="s">
        <v>6</v>
      </c>
      <c r="H7" s="3">
        <v>0.04</v>
      </c>
      <c r="I7" s="3">
        <v>3.2000000000000001E-2</v>
      </c>
    </row>
    <row r="8" spans="2:9" x14ac:dyDescent="0.25">
      <c r="B8" s="2" t="s">
        <v>16</v>
      </c>
      <c r="C8" s="6">
        <v>422</v>
      </c>
      <c r="D8" s="4">
        <v>300</v>
      </c>
      <c r="G8" s="2" t="s">
        <v>4</v>
      </c>
      <c r="H8" s="3">
        <v>0.05</v>
      </c>
      <c r="I8" s="3">
        <v>4.9000000000000002E-2</v>
      </c>
    </row>
    <row r="9" spans="2:9" x14ac:dyDescent="0.25">
      <c r="B9" s="2" t="s">
        <v>15</v>
      </c>
      <c r="C9" s="4">
        <v>44.74</v>
      </c>
      <c r="D9" s="6">
        <v>37.89</v>
      </c>
      <c r="G9" s="2" t="s">
        <v>0</v>
      </c>
      <c r="H9" s="5">
        <v>6.6799999999999998E-2</v>
      </c>
      <c r="I9" s="3">
        <v>7.6600000000000001E-2</v>
      </c>
    </row>
    <row r="10" spans="2:9" x14ac:dyDescent="0.25">
      <c r="B10" s="2" t="s">
        <v>0</v>
      </c>
      <c r="C10" s="3">
        <v>6.7000000000000004E-2</v>
      </c>
      <c r="D10" s="3">
        <v>6.9699999999999998E-2</v>
      </c>
      <c r="G10" s="2" t="s">
        <v>1</v>
      </c>
      <c r="H10" s="3">
        <v>6.5199999999999994E-2</v>
      </c>
      <c r="I10" s="3">
        <v>7.1999999999999995E-2</v>
      </c>
    </row>
    <row r="12" spans="2:9" x14ac:dyDescent="0.25">
      <c r="B12" s="9" t="s">
        <v>14</v>
      </c>
      <c r="C12" s="9" t="s">
        <v>23</v>
      </c>
      <c r="D12" s="9" t="s">
        <v>52</v>
      </c>
      <c r="G12" s="9" t="s">
        <v>25</v>
      </c>
      <c r="H12" s="9" t="s">
        <v>23</v>
      </c>
      <c r="I12" s="9" t="s">
        <v>52</v>
      </c>
    </row>
    <row r="13" spans="2:9" x14ac:dyDescent="0.25">
      <c r="B13" s="2" t="s">
        <v>21</v>
      </c>
      <c r="C13" s="8">
        <v>1300000</v>
      </c>
      <c r="D13" s="8">
        <v>52000000</v>
      </c>
      <c r="G13" s="2" t="s">
        <v>20</v>
      </c>
      <c r="H13" s="3">
        <v>0.16489999999999999</v>
      </c>
      <c r="I13" s="3">
        <v>3.7499999999999999E-2</v>
      </c>
    </row>
    <row r="14" spans="2:9" x14ac:dyDescent="0.25">
      <c r="B14" s="2" t="s">
        <v>19</v>
      </c>
      <c r="C14" s="2">
        <v>0</v>
      </c>
      <c r="D14" s="8">
        <v>172000</v>
      </c>
      <c r="G14" s="2" t="s">
        <v>18</v>
      </c>
      <c r="H14" s="3">
        <v>7.1400000000000005E-2</v>
      </c>
      <c r="I14" s="3">
        <v>3.49E-2</v>
      </c>
    </row>
    <row r="15" spans="2:9" x14ac:dyDescent="0.25">
      <c r="B15" s="2" t="s">
        <v>17</v>
      </c>
      <c r="C15" s="8">
        <v>-29700</v>
      </c>
      <c r="D15" s="8">
        <v>-171000</v>
      </c>
      <c r="G15" s="2" t="s">
        <v>6</v>
      </c>
      <c r="H15" s="3">
        <v>5.0999999999999997E-2</v>
      </c>
      <c r="I15" s="3">
        <v>6.5000000000000002E-2</v>
      </c>
    </row>
    <row r="16" spans="2:9" x14ac:dyDescent="0.25">
      <c r="B16" s="2" t="s">
        <v>16</v>
      </c>
      <c r="C16" s="6">
        <v>376</v>
      </c>
      <c r="D16" s="4">
        <v>290</v>
      </c>
      <c r="G16" s="2" t="s">
        <v>4</v>
      </c>
      <c r="H16" s="3">
        <v>4.4999999999999998E-2</v>
      </c>
      <c r="I16" s="3">
        <v>4.8000000000000001E-2</v>
      </c>
    </row>
    <row r="17" spans="2:9" x14ac:dyDescent="0.25">
      <c r="B17" s="2" t="s">
        <v>15</v>
      </c>
      <c r="C17" s="4">
        <v>36.85</v>
      </c>
      <c r="D17" s="6">
        <v>31.81</v>
      </c>
      <c r="G17" s="2" t="s">
        <v>0</v>
      </c>
      <c r="H17" s="5">
        <v>6.1800000000000001E-2</v>
      </c>
      <c r="I17" s="3">
        <v>6.7400000000000002E-2</v>
      </c>
    </row>
    <row r="18" spans="2:9" x14ac:dyDescent="0.25">
      <c r="B18" s="2" t="s">
        <v>0</v>
      </c>
      <c r="C18" s="3">
        <v>6.2E-2</v>
      </c>
      <c r="D18" s="3">
        <v>6.7400000000000002E-2</v>
      </c>
      <c r="G18" s="2" t="s">
        <v>1</v>
      </c>
      <c r="H18" s="3">
        <v>6.4399999999999999E-2</v>
      </c>
      <c r="I18" s="3">
        <v>6.9400000000000003E-2</v>
      </c>
    </row>
    <row r="20" spans="2:9" x14ac:dyDescent="0.25">
      <c r="B20" s="9" t="s">
        <v>14</v>
      </c>
      <c r="C20" s="9" t="s">
        <v>29</v>
      </c>
      <c r="D20" s="9" t="s">
        <v>52</v>
      </c>
      <c r="G20" s="9" t="s">
        <v>25</v>
      </c>
      <c r="H20" s="9" t="s">
        <v>29</v>
      </c>
      <c r="I20" s="9" t="s">
        <v>52</v>
      </c>
    </row>
    <row r="21" spans="2:9" x14ac:dyDescent="0.25">
      <c r="B21" s="2" t="s">
        <v>34</v>
      </c>
      <c r="C21" s="45">
        <v>220.73</v>
      </c>
      <c r="D21" s="45">
        <v>140.47999999999999</v>
      </c>
      <c r="G21" s="2" t="s">
        <v>10</v>
      </c>
      <c r="H21" s="3">
        <v>0.65359999999999996</v>
      </c>
      <c r="I21" s="3">
        <v>0.65810000000000002</v>
      </c>
    </row>
    <row r="22" spans="2:9" x14ac:dyDescent="0.25">
      <c r="B22" s="2" t="s">
        <v>35</v>
      </c>
      <c r="C22" s="6">
        <v>144.28</v>
      </c>
      <c r="D22" s="6">
        <v>92.45</v>
      </c>
      <c r="G22" s="2" t="s">
        <v>18</v>
      </c>
      <c r="H22" s="3">
        <v>0.61539999999999995</v>
      </c>
      <c r="I22" s="3">
        <v>0.63349999999999995</v>
      </c>
    </row>
    <row r="23" spans="2:9" x14ac:dyDescent="0.25">
      <c r="B23" s="2" t="s">
        <v>32</v>
      </c>
      <c r="C23" s="8">
        <v>237000</v>
      </c>
      <c r="D23" s="4">
        <v>138000</v>
      </c>
      <c r="G23" s="2" t="s">
        <v>0</v>
      </c>
      <c r="H23" s="3">
        <v>8.7999999999999995E-2</v>
      </c>
      <c r="I23" s="3">
        <v>9.2999999999999999E-2</v>
      </c>
    </row>
    <row r="24" spans="2:9" x14ac:dyDescent="0.25">
      <c r="B24" s="2" t="s">
        <v>0</v>
      </c>
      <c r="C24" s="3">
        <v>8.7999999999999995E-2</v>
      </c>
      <c r="D24" s="3">
        <v>9.2999999999999999E-2</v>
      </c>
      <c r="G24" s="2" t="s">
        <v>1</v>
      </c>
      <c r="H24" s="3">
        <v>8.1299999999999997E-2</v>
      </c>
      <c r="I24" s="3">
        <v>8.72E-2</v>
      </c>
    </row>
    <row r="25" spans="2:9" x14ac:dyDescent="0.25">
      <c r="C25" s="6"/>
      <c r="H25" s="5"/>
    </row>
    <row r="26" spans="2:9" x14ac:dyDescent="0.25">
      <c r="C26" s="3"/>
      <c r="H26" s="3"/>
    </row>
    <row r="28" spans="2:9" x14ac:dyDescent="0.25">
      <c r="B28" s="9" t="s">
        <v>14</v>
      </c>
      <c r="C28" s="9" t="s">
        <v>12</v>
      </c>
      <c r="D28" s="9" t="s">
        <v>52</v>
      </c>
      <c r="G28" s="9" t="s">
        <v>12</v>
      </c>
      <c r="H28" s="9" t="s">
        <v>25</v>
      </c>
      <c r="I28" s="9" t="s">
        <v>52</v>
      </c>
    </row>
    <row r="29" spans="2:9" x14ac:dyDescent="0.25">
      <c r="B29" s="2" t="s">
        <v>11</v>
      </c>
      <c r="C29" s="8">
        <v>19281</v>
      </c>
      <c r="D29" s="8">
        <v>204390</v>
      </c>
      <c r="G29" s="2" t="s">
        <v>10</v>
      </c>
      <c r="H29" s="3">
        <v>0.85040000000000004</v>
      </c>
      <c r="I29" s="3">
        <v>0.87339999999999995</v>
      </c>
    </row>
    <row r="30" spans="2:9" x14ac:dyDescent="0.25">
      <c r="B30" s="2" t="s">
        <v>9</v>
      </c>
      <c r="C30" s="2">
        <v>773</v>
      </c>
      <c r="D30" s="8">
        <v>13517</v>
      </c>
      <c r="G30" s="2" t="s">
        <v>8</v>
      </c>
      <c r="H30" s="3">
        <v>0.89059999999999995</v>
      </c>
      <c r="I30" s="3">
        <v>0.90780000000000005</v>
      </c>
    </row>
    <row r="31" spans="2:9" x14ac:dyDescent="0.25">
      <c r="B31" s="2" t="s">
        <v>7</v>
      </c>
      <c r="C31" s="8">
        <v>878</v>
      </c>
      <c r="D31" s="8">
        <v>10748</v>
      </c>
      <c r="G31" s="2" t="s">
        <v>6</v>
      </c>
      <c r="H31" s="3">
        <v>-2.5000000000000001E-2</v>
      </c>
      <c r="I31" s="3">
        <v>-0.02</v>
      </c>
    </row>
    <row r="32" spans="2:9" x14ac:dyDescent="0.25">
      <c r="B32" s="2" t="s">
        <v>5</v>
      </c>
      <c r="C32" s="7">
        <v>0.15</v>
      </c>
      <c r="D32" s="3">
        <v>0.127</v>
      </c>
      <c r="G32" s="2" t="s">
        <v>4</v>
      </c>
      <c r="H32" s="3">
        <v>1.7999999999999999E-2</v>
      </c>
      <c r="I32" s="3">
        <v>2.9000000000000001E-2</v>
      </c>
    </row>
    <row r="33" spans="2:9" x14ac:dyDescent="0.25">
      <c r="B33" s="2" t="s">
        <v>3</v>
      </c>
      <c r="C33" s="6">
        <v>2111</v>
      </c>
      <c r="D33" s="4">
        <v>1619</v>
      </c>
      <c r="G33" s="2" t="s">
        <v>0</v>
      </c>
      <c r="H33" s="5">
        <v>5.5199999999999999E-2</v>
      </c>
      <c r="I33" s="5">
        <v>5.3999999999999999E-2</v>
      </c>
    </row>
    <row r="34" spans="2:9" x14ac:dyDescent="0.25">
      <c r="B34" s="2" t="s">
        <v>2</v>
      </c>
      <c r="C34" s="4">
        <v>355000</v>
      </c>
      <c r="D34" s="4">
        <v>250000</v>
      </c>
      <c r="G34" s="2" t="s">
        <v>1</v>
      </c>
      <c r="H34" s="3">
        <v>5.04E-2</v>
      </c>
      <c r="I34" s="3">
        <v>5.11E-2</v>
      </c>
    </row>
    <row r="35" spans="2:9" x14ac:dyDescent="0.25">
      <c r="B35" s="2" t="s">
        <v>0</v>
      </c>
      <c r="C35" s="3">
        <v>5.5199999999999999E-2</v>
      </c>
      <c r="D35" s="3">
        <v>5.3999999999999999E-2</v>
      </c>
    </row>
    <row r="36" spans="2:9" ht="16.5" thickBot="1" x14ac:dyDescent="0.3"/>
    <row r="37" spans="2:9" ht="16.5" thickBot="1" x14ac:dyDescent="0.3">
      <c r="B37" s="46" t="s">
        <v>39</v>
      </c>
      <c r="C37" s="47"/>
    </row>
    <row r="38" spans="2:9" x14ac:dyDescent="0.25">
      <c r="B38" s="48" t="s">
        <v>40</v>
      </c>
      <c r="C38" s="51">
        <v>22659</v>
      </c>
    </row>
    <row r="39" spans="2:9" x14ac:dyDescent="0.25">
      <c r="B39" s="48" t="s">
        <v>41</v>
      </c>
      <c r="C39" s="51">
        <v>27835</v>
      </c>
    </row>
    <row r="40" spans="2:9" x14ac:dyDescent="0.25">
      <c r="B40" s="48" t="s">
        <v>42</v>
      </c>
      <c r="C40" s="49">
        <v>4.5999999999999999E-2</v>
      </c>
    </row>
    <row r="41" spans="2:9" ht="16.5" thickBot="1" x14ac:dyDescent="0.3">
      <c r="B41" s="50" t="s">
        <v>43</v>
      </c>
      <c r="C41" s="52">
        <v>107843</v>
      </c>
    </row>
  </sheetData>
  <mergeCells count="1">
    <mergeCell ref="B37:C37"/>
  </mergeCells>
  <conditionalFormatting sqref="H5:I5">
    <cfRule type="cellIs" dxfId="41" priority="23" operator="lessThan">
      <formula>$H$14</formula>
    </cfRule>
    <cfRule type="cellIs" dxfId="40" priority="24" operator="greaterThan">
      <formula>$H$14</formula>
    </cfRule>
  </conditionalFormatting>
  <conditionalFormatting sqref="H7:I7">
    <cfRule type="cellIs" dxfId="39" priority="14" operator="lessThan">
      <formula>$H$8</formula>
    </cfRule>
  </conditionalFormatting>
  <conditionalFormatting sqref="H9">
    <cfRule type="cellIs" dxfId="38" priority="11" operator="greaterThan">
      <formula>$H$10</formula>
    </cfRule>
    <cfRule type="cellIs" dxfId="37" priority="12" operator="greaterThan">
      <formula>"6.68%$H$10"</formula>
    </cfRule>
    <cfRule type="cellIs" dxfId="36" priority="13" operator="lessThan">
      <formula>$H$10</formula>
    </cfRule>
  </conditionalFormatting>
  <conditionalFormatting sqref="H13:I13">
    <cfRule type="cellIs" dxfId="35" priority="25" operator="lessThan">
      <formula>$H$14</formula>
    </cfRule>
    <cfRule type="cellIs" dxfId="34" priority="26" operator="greaterThan">
      <formula>$H$14</formula>
    </cfRule>
  </conditionalFormatting>
  <conditionalFormatting sqref="H15:I15">
    <cfRule type="cellIs" dxfId="33" priority="10" operator="greaterThan">
      <formula>$H$16</formula>
    </cfRule>
  </conditionalFormatting>
  <conditionalFormatting sqref="H17">
    <cfRule type="cellIs" dxfId="32" priority="9" operator="lessThan">
      <formula>$H$18</formula>
    </cfRule>
  </conditionalFormatting>
  <conditionalFormatting sqref="H21">
    <cfRule type="cellIs" dxfId="31" priority="21" operator="lessThan">
      <formula>$H$14</formula>
    </cfRule>
    <cfRule type="cellIs" dxfId="30" priority="22" operator="greaterThan">
      <formula>$H$14</formula>
    </cfRule>
    <cfRule type="cellIs" dxfId="29" priority="8" operator="greaterThan">
      <formula>$H$22</formula>
    </cfRule>
  </conditionalFormatting>
  <conditionalFormatting sqref="H23">
    <cfRule type="cellIs" dxfId="28" priority="18" operator="lessThan">
      <formula>$H$24</formula>
    </cfRule>
    <cfRule type="cellIs" dxfId="27" priority="7" operator="greaterThan">
      <formula>$H$24</formula>
    </cfRule>
  </conditionalFormatting>
  <conditionalFormatting sqref="H25">
    <cfRule type="cellIs" dxfId="26" priority="15" operator="lessThan">
      <formula>$H$26</formula>
    </cfRule>
  </conditionalFormatting>
  <conditionalFormatting sqref="H29:I29">
    <cfRule type="cellIs" dxfId="25" priority="19" operator="greaterThan">
      <formula>H30</formula>
    </cfRule>
    <cfRule type="cellIs" dxfId="24" priority="20" operator="lessThan">
      <formula>H30</formula>
    </cfRule>
  </conditionalFormatting>
  <conditionalFormatting sqref="H31:I31">
    <cfRule type="cellIs" dxfId="23" priority="17" operator="lessThan">
      <formula>$H$32</formula>
    </cfRule>
  </conditionalFormatting>
  <conditionalFormatting sqref="H33:I33">
    <cfRule type="cellIs" dxfId="22" priority="16" operator="greaterThan">
      <formula>$H$34</formula>
    </cfRule>
  </conditionalFormatting>
  <conditionalFormatting sqref="I23:I24">
    <cfRule type="cellIs" dxfId="21" priority="6" operator="greaterThan">
      <formula>$I$24</formula>
    </cfRule>
  </conditionalFormatting>
  <conditionalFormatting sqref="I21">
    <cfRule type="cellIs" dxfId="20" priority="5" operator="greaterThan">
      <formula>$I$22</formula>
    </cfRule>
  </conditionalFormatting>
  <conditionalFormatting sqref="I17:I18">
    <cfRule type="cellIs" dxfId="19" priority="4" operator="lessThan">
      <formula>$I$18</formula>
    </cfRule>
  </conditionalFormatting>
  <conditionalFormatting sqref="I9:I10">
    <cfRule type="cellIs" dxfId="18" priority="3" operator="greaterThan">
      <formula>$I$10</formula>
    </cfRule>
  </conditionalFormatting>
  <conditionalFormatting sqref="I33:I34">
    <cfRule type="cellIs" dxfId="17" priority="2" operator="greaterThan">
      <formula>$I$34</formula>
    </cfRule>
  </conditionalFormatting>
  <conditionalFormatting sqref="I13:I14">
    <cfRule type="cellIs" dxfId="16" priority="1" operator="greaterThan">
      <formula>$I$14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7D17D-B2F7-4979-B068-7E929002BB7F}">
  <dimension ref="B1:I41"/>
  <sheetViews>
    <sheetView showGridLines="0" tabSelected="1" workbookViewId="0">
      <selection activeCell="O17" sqref="O17"/>
    </sheetView>
  </sheetViews>
  <sheetFormatPr defaultRowHeight="15.75" x14ac:dyDescent="0.25"/>
  <cols>
    <col min="1" max="1" width="2.375" style="2" customWidth="1"/>
    <col min="2" max="2" width="24.125" style="2" bestFit="1" customWidth="1"/>
    <col min="3" max="4" width="9.875" style="2" bestFit="1" customWidth="1"/>
    <col min="5" max="6" width="9" style="2"/>
    <col min="7" max="7" width="30.75" style="2" bestFit="1" customWidth="1"/>
    <col min="8" max="8" width="14.125" style="2" bestFit="1" customWidth="1"/>
    <col min="9" max="16384" width="9" style="2"/>
  </cols>
  <sheetData>
    <row r="1" spans="2:9" ht="10.5" customHeight="1" thickBot="1" x14ac:dyDescent="0.3"/>
    <row r="2" spans="2:9" ht="16.5" thickBot="1" x14ac:dyDescent="0.3">
      <c r="B2" s="11" t="s">
        <v>28</v>
      </c>
      <c r="C2" s="10" t="s">
        <v>26</v>
      </c>
    </row>
    <row r="4" spans="2:9" x14ac:dyDescent="0.25">
      <c r="B4" s="9" t="s">
        <v>14</v>
      </c>
      <c r="C4" s="9" t="s">
        <v>24</v>
      </c>
      <c r="D4" s="9" t="s">
        <v>52</v>
      </c>
      <c r="G4" s="9" t="s">
        <v>25</v>
      </c>
      <c r="H4" s="9" t="s">
        <v>24</v>
      </c>
      <c r="I4" s="9" t="s">
        <v>52</v>
      </c>
    </row>
    <row r="5" spans="2:9" x14ac:dyDescent="0.25">
      <c r="B5" s="2" t="s">
        <v>21</v>
      </c>
      <c r="C5" s="8">
        <v>30500000</v>
      </c>
      <c r="D5" s="8">
        <v>95300000</v>
      </c>
      <c r="G5" s="2" t="s">
        <v>20</v>
      </c>
      <c r="H5" s="3">
        <v>0.2248</v>
      </c>
      <c r="I5" s="3">
        <v>0.1782</v>
      </c>
    </row>
    <row r="6" spans="2:9" x14ac:dyDescent="0.25">
      <c r="B6" s="2" t="s">
        <v>19</v>
      </c>
      <c r="C6" s="8">
        <v>525000</v>
      </c>
      <c r="D6" s="8">
        <v>631000</v>
      </c>
      <c r="G6" s="2" t="s">
        <v>18</v>
      </c>
      <c r="H6" s="3">
        <v>0.1241</v>
      </c>
      <c r="I6" s="3">
        <v>0.1242</v>
      </c>
    </row>
    <row r="7" spans="2:9" x14ac:dyDescent="0.25">
      <c r="B7" s="2" t="s">
        <v>17</v>
      </c>
      <c r="C7" s="8">
        <v>387000</v>
      </c>
      <c r="D7" s="8">
        <v>1200000</v>
      </c>
      <c r="G7" s="2" t="s">
        <v>6</v>
      </c>
      <c r="H7" s="3">
        <v>0.04</v>
      </c>
      <c r="I7" s="3">
        <v>3.2000000000000001E-2</v>
      </c>
    </row>
    <row r="8" spans="2:9" x14ac:dyDescent="0.25">
      <c r="B8" s="2" t="s">
        <v>16</v>
      </c>
      <c r="C8" s="6">
        <v>415</v>
      </c>
      <c r="D8" s="4">
        <v>300</v>
      </c>
      <c r="G8" s="2" t="s">
        <v>4</v>
      </c>
      <c r="H8" s="3">
        <v>0.05</v>
      </c>
      <c r="I8" s="3">
        <v>4.9000000000000002E-2</v>
      </c>
    </row>
    <row r="9" spans="2:9" x14ac:dyDescent="0.25">
      <c r="B9" s="2" t="s">
        <v>15</v>
      </c>
      <c r="C9" s="4">
        <v>44.08</v>
      </c>
      <c r="D9" s="6">
        <v>37.89</v>
      </c>
      <c r="G9" s="2" t="s">
        <v>0</v>
      </c>
      <c r="H9" s="5">
        <v>6.7199999999999996E-2</v>
      </c>
      <c r="I9" s="3">
        <v>7.6600000000000001E-2</v>
      </c>
    </row>
    <row r="10" spans="2:9" x14ac:dyDescent="0.25">
      <c r="B10" s="2" t="s">
        <v>0</v>
      </c>
      <c r="C10" s="3">
        <v>6.7000000000000004E-2</v>
      </c>
      <c r="D10" s="3">
        <v>6.9699999999999998E-2</v>
      </c>
      <c r="G10" s="2" t="s">
        <v>1</v>
      </c>
      <c r="H10" s="3">
        <v>6.5500000000000003E-2</v>
      </c>
      <c r="I10" s="3">
        <v>7.1999999999999995E-2</v>
      </c>
    </row>
    <row r="12" spans="2:9" x14ac:dyDescent="0.25">
      <c r="B12" s="9" t="s">
        <v>14</v>
      </c>
      <c r="C12" s="9" t="s">
        <v>23</v>
      </c>
      <c r="D12" s="9" t="s">
        <v>52</v>
      </c>
      <c r="G12" s="9" t="s">
        <v>13</v>
      </c>
      <c r="H12" s="9" t="s">
        <v>23</v>
      </c>
      <c r="I12" s="9" t="s">
        <v>52</v>
      </c>
    </row>
    <row r="13" spans="2:9" x14ac:dyDescent="0.25">
      <c r="B13" s="2" t="s">
        <v>21</v>
      </c>
      <c r="C13" s="8">
        <v>1500000</v>
      </c>
      <c r="D13" s="8">
        <v>52000000</v>
      </c>
      <c r="G13" s="2" t="s">
        <v>20</v>
      </c>
      <c r="H13" s="3">
        <v>0.10100000000000001</v>
      </c>
      <c r="I13" s="3">
        <v>3.7499999999999999E-2</v>
      </c>
    </row>
    <row r="14" spans="2:9" x14ac:dyDescent="0.25">
      <c r="B14" s="2" t="s">
        <v>19</v>
      </c>
      <c r="C14" s="2">
        <v>0</v>
      </c>
      <c r="D14" s="8">
        <v>172000</v>
      </c>
      <c r="G14" s="2" t="s">
        <v>18</v>
      </c>
      <c r="H14" s="3">
        <v>0.06</v>
      </c>
      <c r="I14" s="3">
        <v>3.49E-2</v>
      </c>
    </row>
    <row r="15" spans="2:9" x14ac:dyDescent="0.25">
      <c r="B15" s="2" t="s">
        <v>17</v>
      </c>
      <c r="C15" s="8">
        <v>-28200</v>
      </c>
      <c r="D15" s="8">
        <v>-171000</v>
      </c>
      <c r="G15" s="2" t="s">
        <v>6</v>
      </c>
      <c r="H15" s="3">
        <v>5.0999999999999997E-2</v>
      </c>
      <c r="I15" s="3">
        <v>6.5000000000000002E-2</v>
      </c>
    </row>
    <row r="16" spans="2:9" x14ac:dyDescent="0.25">
      <c r="B16" s="2" t="s">
        <v>16</v>
      </c>
      <c r="C16" s="6">
        <v>376</v>
      </c>
      <c r="D16" s="4">
        <v>290</v>
      </c>
      <c r="G16" s="2" t="s">
        <v>4</v>
      </c>
      <c r="H16" s="3">
        <v>4.7E-2</v>
      </c>
      <c r="I16" s="3">
        <v>4.8000000000000001E-2</v>
      </c>
    </row>
    <row r="17" spans="2:9" x14ac:dyDescent="0.25">
      <c r="B17" s="2" t="s">
        <v>15</v>
      </c>
      <c r="C17" s="4">
        <v>36.85</v>
      </c>
      <c r="D17" s="6">
        <v>31.81</v>
      </c>
      <c r="G17" s="2" t="s">
        <v>0</v>
      </c>
      <c r="H17" s="5">
        <v>6.3200000000000006E-2</v>
      </c>
      <c r="I17" s="3">
        <v>6.7400000000000002E-2</v>
      </c>
    </row>
    <row r="18" spans="2:9" x14ac:dyDescent="0.25">
      <c r="B18" s="2" t="s">
        <v>0</v>
      </c>
      <c r="C18" s="3">
        <v>6.2E-2</v>
      </c>
      <c r="D18" s="3">
        <v>6.7400000000000002E-2</v>
      </c>
      <c r="G18" s="2" t="s">
        <v>1</v>
      </c>
      <c r="H18" s="3">
        <v>6.3399999999999998E-2</v>
      </c>
      <c r="I18" s="3">
        <v>6.9400000000000003E-2</v>
      </c>
    </row>
    <row r="20" spans="2:9" x14ac:dyDescent="0.25">
      <c r="B20" s="9" t="s">
        <v>14</v>
      </c>
      <c r="C20" s="9" t="s">
        <v>29</v>
      </c>
      <c r="D20" s="9" t="s">
        <v>52</v>
      </c>
      <c r="G20" s="9" t="s">
        <v>13</v>
      </c>
      <c r="H20" s="9" t="s">
        <v>29</v>
      </c>
      <c r="I20" s="9" t="s">
        <v>52</v>
      </c>
    </row>
    <row r="21" spans="2:9" x14ac:dyDescent="0.25">
      <c r="B21" s="2" t="s">
        <v>34</v>
      </c>
      <c r="C21" s="8">
        <v>1800000</v>
      </c>
      <c r="D21" s="45">
        <v>140.47999999999999</v>
      </c>
      <c r="G21" s="2" t="s">
        <v>10</v>
      </c>
      <c r="H21" s="3">
        <v>1.54E-2</v>
      </c>
      <c r="I21" s="3">
        <v>0.65810000000000002</v>
      </c>
    </row>
    <row r="22" spans="2:9" x14ac:dyDescent="0.25">
      <c r="B22" s="2" t="s">
        <v>35</v>
      </c>
      <c r="C22" s="2">
        <v>0</v>
      </c>
      <c r="D22" s="6">
        <v>92.45</v>
      </c>
      <c r="G22" s="2" t="s">
        <v>18</v>
      </c>
      <c r="H22" s="3">
        <v>1.6199999999999999E-2</v>
      </c>
      <c r="I22" s="3">
        <v>0.63349999999999995</v>
      </c>
    </row>
    <row r="23" spans="2:9" x14ac:dyDescent="0.25">
      <c r="B23" s="2" t="s">
        <v>32</v>
      </c>
      <c r="C23" s="8">
        <v>-15000</v>
      </c>
      <c r="D23" s="4">
        <v>138000</v>
      </c>
      <c r="G23" s="2" t="s">
        <v>0</v>
      </c>
      <c r="H23" s="3">
        <v>6.4000000000000001E-2</v>
      </c>
      <c r="I23" s="3">
        <v>9.2999999999999999E-2</v>
      </c>
    </row>
    <row r="24" spans="2:9" x14ac:dyDescent="0.25">
      <c r="B24" s="2" t="s">
        <v>0</v>
      </c>
      <c r="C24" s="4">
        <v>156</v>
      </c>
      <c r="D24" s="3">
        <v>9.2999999999999999E-2</v>
      </c>
      <c r="G24" s="2" t="s">
        <v>1</v>
      </c>
      <c r="H24" s="3">
        <v>8.5000000000000006E-2</v>
      </c>
      <c r="I24" s="3">
        <v>8.72E-2</v>
      </c>
    </row>
    <row r="25" spans="2:9" x14ac:dyDescent="0.25">
      <c r="C25" s="6"/>
      <c r="H25" s="5"/>
    </row>
    <row r="26" spans="2:9" x14ac:dyDescent="0.25">
      <c r="C26" s="3"/>
      <c r="H26" s="3"/>
    </row>
    <row r="28" spans="2:9" x14ac:dyDescent="0.25">
      <c r="B28" s="9" t="s">
        <v>14</v>
      </c>
      <c r="C28" s="9" t="s">
        <v>12</v>
      </c>
      <c r="D28" s="9" t="s">
        <v>52</v>
      </c>
      <c r="G28" s="9" t="s">
        <v>13</v>
      </c>
      <c r="H28" s="9" t="s">
        <v>12</v>
      </c>
      <c r="I28" s="9" t="s">
        <v>52</v>
      </c>
    </row>
    <row r="29" spans="2:9" x14ac:dyDescent="0.25">
      <c r="B29" s="2" t="s">
        <v>11</v>
      </c>
      <c r="C29" s="8">
        <v>20160</v>
      </c>
      <c r="D29" s="8">
        <v>204390</v>
      </c>
      <c r="G29" s="2" t="s">
        <v>10</v>
      </c>
      <c r="H29" s="3">
        <v>0.83399999999999996</v>
      </c>
      <c r="I29" s="3">
        <v>0.87339999999999995</v>
      </c>
    </row>
    <row r="30" spans="2:9" x14ac:dyDescent="0.25">
      <c r="B30" s="2" t="s">
        <v>9</v>
      </c>
      <c r="C30" s="8">
        <v>1294</v>
      </c>
      <c r="D30" s="8">
        <v>13517</v>
      </c>
      <c r="G30" s="2" t="s">
        <v>8</v>
      </c>
      <c r="H30" s="3">
        <v>0.89329999999999998</v>
      </c>
      <c r="I30" s="3">
        <v>0.90780000000000005</v>
      </c>
    </row>
    <row r="31" spans="2:9" x14ac:dyDescent="0.25">
      <c r="B31" s="2" t="s">
        <v>7</v>
      </c>
      <c r="C31" s="8">
        <v>720</v>
      </c>
      <c r="D31" s="8">
        <v>10748</v>
      </c>
      <c r="G31" s="2" t="s">
        <v>6</v>
      </c>
      <c r="H31" s="3">
        <v>-2.8000000000000001E-2</v>
      </c>
      <c r="I31" s="3">
        <v>-0.02</v>
      </c>
    </row>
    <row r="32" spans="2:9" x14ac:dyDescent="0.25">
      <c r="B32" s="2" t="s">
        <v>5</v>
      </c>
      <c r="C32" s="7">
        <v>0.16600000000000001</v>
      </c>
      <c r="D32" s="3">
        <v>0.127</v>
      </c>
      <c r="G32" s="2" t="s">
        <v>4</v>
      </c>
      <c r="H32" s="3">
        <v>1.7000000000000001E-2</v>
      </c>
      <c r="I32" s="3">
        <v>2.9000000000000001E-2</v>
      </c>
    </row>
    <row r="33" spans="2:9" x14ac:dyDescent="0.25">
      <c r="B33" s="2" t="s">
        <v>3</v>
      </c>
      <c r="C33" s="6">
        <v>2028</v>
      </c>
      <c r="D33" s="4">
        <v>1619</v>
      </c>
      <c r="G33" s="2" t="s">
        <v>0</v>
      </c>
      <c r="H33" s="5">
        <v>5.4699999999999999E-2</v>
      </c>
      <c r="I33" s="5">
        <v>5.3999999999999999E-2</v>
      </c>
    </row>
    <row r="34" spans="2:9" x14ac:dyDescent="0.25">
      <c r="B34" s="2" t="s">
        <v>2</v>
      </c>
      <c r="C34" s="4">
        <v>348000</v>
      </c>
      <c r="D34" s="4">
        <v>250000</v>
      </c>
      <c r="G34" s="2" t="s">
        <v>1</v>
      </c>
      <c r="H34" s="3">
        <v>5.0099999999999999E-2</v>
      </c>
      <c r="I34" s="3">
        <v>5.11E-2</v>
      </c>
    </row>
    <row r="35" spans="2:9" x14ac:dyDescent="0.25">
      <c r="B35" s="2" t="s">
        <v>0</v>
      </c>
      <c r="C35" s="3">
        <v>5.5E-2</v>
      </c>
      <c r="D35" s="3">
        <v>5.3999999999999999E-2</v>
      </c>
    </row>
    <row r="36" spans="2:9" ht="16.5" thickBot="1" x14ac:dyDescent="0.3"/>
    <row r="37" spans="2:9" ht="16.5" thickBot="1" x14ac:dyDescent="0.3">
      <c r="B37" s="46" t="s">
        <v>39</v>
      </c>
      <c r="C37" s="47"/>
    </row>
    <row r="38" spans="2:9" x14ac:dyDescent="0.25">
      <c r="B38" s="48" t="s">
        <v>40</v>
      </c>
      <c r="C38" s="51">
        <v>22955</v>
      </c>
    </row>
    <row r="39" spans="2:9" x14ac:dyDescent="0.25">
      <c r="B39" s="48" t="s">
        <v>41</v>
      </c>
      <c r="C39" s="51">
        <v>27954</v>
      </c>
    </row>
    <row r="40" spans="2:9" x14ac:dyDescent="0.25">
      <c r="B40" s="48" t="s">
        <v>42</v>
      </c>
      <c r="C40" s="49">
        <v>4.3999999999999997E-2</v>
      </c>
    </row>
    <row r="41" spans="2:9" ht="16.5" thickBot="1" x14ac:dyDescent="0.3">
      <c r="B41" s="50" t="s">
        <v>43</v>
      </c>
      <c r="C41" s="52">
        <v>103429</v>
      </c>
    </row>
  </sheetData>
  <mergeCells count="1">
    <mergeCell ref="B37:C37"/>
  </mergeCells>
  <conditionalFormatting sqref="H5">
    <cfRule type="cellIs" dxfId="135" priority="45" operator="lessThan">
      <formula>$H$14</formula>
    </cfRule>
    <cfRule type="cellIs" dxfId="134" priority="46" operator="greaterThan">
      <formula>$H$14</formula>
    </cfRule>
  </conditionalFormatting>
  <conditionalFormatting sqref="H7">
    <cfRule type="cellIs" dxfId="133" priority="36" operator="lessThan">
      <formula>$H$8</formula>
    </cfRule>
  </conditionalFormatting>
  <conditionalFormatting sqref="H9">
    <cfRule type="cellIs" dxfId="132" priority="33" operator="greaterThan">
      <formula>$H$10</formula>
    </cfRule>
    <cfRule type="cellIs" dxfId="131" priority="34" operator="greaterThan">
      <formula>"6.68%$H$10"</formula>
    </cfRule>
    <cfRule type="cellIs" dxfId="130" priority="35" operator="lessThan">
      <formula>$H$10</formula>
    </cfRule>
  </conditionalFormatting>
  <conditionalFormatting sqref="H13">
    <cfRule type="cellIs" dxfId="129" priority="47" operator="lessThan">
      <formula>$H$14</formula>
    </cfRule>
    <cfRule type="cellIs" dxfId="128" priority="48" operator="greaterThan">
      <formula>$H$14</formula>
    </cfRule>
  </conditionalFormatting>
  <conditionalFormatting sqref="H15">
    <cfRule type="cellIs" dxfId="127" priority="32" operator="greaterThan">
      <formula>$H$16</formula>
    </cfRule>
  </conditionalFormatting>
  <conditionalFormatting sqref="H17">
    <cfRule type="cellIs" dxfId="126" priority="31" operator="lessThan">
      <formula>$H$18</formula>
    </cfRule>
  </conditionalFormatting>
  <conditionalFormatting sqref="H21">
    <cfRule type="cellIs" dxfId="125" priority="43" operator="lessThan">
      <formula>$H$14</formula>
    </cfRule>
    <cfRule type="cellIs" dxfId="124" priority="44" operator="greaterThan">
      <formula>$H$14</formula>
    </cfRule>
  </conditionalFormatting>
  <conditionalFormatting sqref="H23">
    <cfRule type="cellIs" dxfId="123" priority="40" operator="lessThan">
      <formula>$H$24</formula>
    </cfRule>
  </conditionalFormatting>
  <conditionalFormatting sqref="H25">
    <cfRule type="cellIs" dxfId="122" priority="30" operator="greaterThan">
      <formula>$H$26</formula>
    </cfRule>
    <cfRule type="cellIs" dxfId="121" priority="37" operator="lessThan">
      <formula>$H$26</formula>
    </cfRule>
  </conditionalFormatting>
  <conditionalFormatting sqref="H29">
    <cfRule type="cellIs" dxfId="120" priority="41" operator="greaterThan">
      <formula>H30</formula>
    </cfRule>
    <cfRule type="cellIs" dxfId="119" priority="42" operator="lessThan">
      <formula>H30</formula>
    </cfRule>
  </conditionalFormatting>
  <conditionalFormatting sqref="H31">
    <cfRule type="cellIs" dxfId="118" priority="39" operator="lessThan">
      <formula>$H$32</formula>
    </cfRule>
  </conditionalFormatting>
  <conditionalFormatting sqref="H33">
    <cfRule type="cellIs" dxfId="117" priority="38" operator="greaterThan">
      <formula>$H$34</formula>
    </cfRule>
  </conditionalFormatting>
  <conditionalFormatting sqref="H33:H34">
    <cfRule type="cellIs" dxfId="116" priority="29" operator="greaterThan">
      <formula>$H$34</formula>
    </cfRule>
  </conditionalFormatting>
  <conditionalFormatting sqref="I5">
    <cfRule type="cellIs" dxfId="15" priority="13" operator="lessThan">
      <formula>$H$14</formula>
    </cfRule>
    <cfRule type="cellIs" dxfId="14" priority="14" operator="greaterThan">
      <formula>$H$14</formula>
    </cfRule>
  </conditionalFormatting>
  <conditionalFormatting sqref="I7">
    <cfRule type="cellIs" dxfId="13" priority="8" operator="lessThan">
      <formula>$H$8</formula>
    </cfRule>
  </conditionalFormatting>
  <conditionalFormatting sqref="I13">
    <cfRule type="cellIs" dxfId="12" priority="15" operator="lessThan">
      <formula>$H$14</formula>
    </cfRule>
    <cfRule type="cellIs" dxfId="11" priority="16" operator="greaterThan">
      <formula>$H$14</formula>
    </cfRule>
  </conditionalFormatting>
  <conditionalFormatting sqref="I15">
    <cfRule type="cellIs" dxfId="10" priority="7" operator="greaterThan">
      <formula>$H$16</formula>
    </cfRule>
  </conditionalFormatting>
  <conditionalFormatting sqref="I29">
    <cfRule type="cellIs" dxfId="9" priority="11" operator="greaterThan">
      <formula>I30</formula>
    </cfRule>
    <cfRule type="cellIs" dxfId="8" priority="12" operator="lessThan">
      <formula>I30</formula>
    </cfRule>
  </conditionalFormatting>
  <conditionalFormatting sqref="I31">
    <cfRule type="cellIs" dxfId="7" priority="10" operator="lessThan">
      <formula>$H$32</formula>
    </cfRule>
  </conditionalFormatting>
  <conditionalFormatting sqref="I33">
    <cfRule type="cellIs" dxfId="6" priority="9" operator="greaterThan">
      <formula>$H$34</formula>
    </cfRule>
  </conditionalFormatting>
  <conditionalFormatting sqref="I23:I24">
    <cfRule type="cellIs" dxfId="5" priority="6" operator="greaterThan">
      <formula>$I$24</formula>
    </cfRule>
  </conditionalFormatting>
  <conditionalFormatting sqref="I21">
    <cfRule type="cellIs" dxfId="4" priority="5" operator="greaterThan">
      <formula>$I$22</formula>
    </cfRule>
  </conditionalFormatting>
  <conditionalFormatting sqref="I17:I18">
    <cfRule type="cellIs" dxfId="3" priority="4" operator="lessThan">
      <formula>$I$18</formula>
    </cfRule>
  </conditionalFormatting>
  <conditionalFormatting sqref="I9:I10">
    <cfRule type="cellIs" dxfId="2" priority="3" operator="greaterThan">
      <formula>$I$10</formula>
    </cfRule>
  </conditionalFormatting>
  <conditionalFormatting sqref="I33:I34">
    <cfRule type="cellIs" dxfId="1" priority="2" operator="greaterThan">
      <formula>$I$34</formula>
    </cfRule>
  </conditionalFormatting>
  <conditionalFormatting sqref="I13:I14">
    <cfRule type="cellIs" dxfId="0" priority="1" operator="greaterThan">
      <formula>$I$14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5A4E-9E9F-49D4-ADCF-734E73ACC46F}">
  <dimension ref="A1:H65"/>
  <sheetViews>
    <sheetView workbookViewId="0"/>
  </sheetViews>
  <sheetFormatPr defaultRowHeight="15.75" x14ac:dyDescent="0.25"/>
  <cols>
    <col min="1" max="1" width="24.125" bestFit="1" customWidth="1"/>
    <col min="2" max="2" width="10.875" bestFit="1" customWidth="1"/>
    <col min="6" max="6" width="30.75" bestFit="1" customWidth="1"/>
    <col min="7" max="7" width="10.875" bestFit="1" customWidth="1"/>
  </cols>
  <sheetData>
    <row r="1" spans="1:8" x14ac:dyDescent="0.25">
      <c r="A1" t="s">
        <v>30</v>
      </c>
    </row>
    <row r="2" spans="1:8" x14ac:dyDescent="0.25">
      <c r="A2" s="9" t="s">
        <v>14</v>
      </c>
      <c r="B2" s="9" t="s">
        <v>24</v>
      </c>
      <c r="C2" s="9" t="s">
        <v>52</v>
      </c>
      <c r="D2" s="2"/>
      <c r="E2" s="2"/>
      <c r="F2" s="9" t="s">
        <v>25</v>
      </c>
      <c r="G2" s="9" t="s">
        <v>24</v>
      </c>
      <c r="H2" s="9" t="s">
        <v>52</v>
      </c>
    </row>
    <row r="3" spans="1:8" x14ac:dyDescent="0.25">
      <c r="A3" s="2" t="s">
        <v>21</v>
      </c>
      <c r="B3" s="8">
        <v>413000</v>
      </c>
      <c r="C3" s="2"/>
      <c r="D3" s="2"/>
      <c r="E3" s="2"/>
      <c r="F3" s="2" t="s">
        <v>20</v>
      </c>
      <c r="G3" s="5">
        <v>2.0299999999999999E-2</v>
      </c>
      <c r="H3">
        <v>3.87</v>
      </c>
    </row>
    <row r="4" spans="1:8" x14ac:dyDescent="0.25">
      <c r="A4" s="2" t="s">
        <v>19</v>
      </c>
      <c r="B4" s="8" t="s">
        <v>31</v>
      </c>
      <c r="C4" s="2"/>
      <c r="D4" s="2"/>
      <c r="E4" s="2"/>
      <c r="F4" s="2" t="s">
        <v>18</v>
      </c>
      <c r="G4" s="3">
        <v>6.7699999999999996E-2</v>
      </c>
      <c r="H4">
        <v>11.3</v>
      </c>
    </row>
    <row r="5" spans="1:8" x14ac:dyDescent="0.25">
      <c r="A5" s="2" t="s">
        <v>17</v>
      </c>
      <c r="B5" s="8">
        <v>19100</v>
      </c>
      <c r="C5" s="2">
        <v>18579</v>
      </c>
      <c r="D5" s="2"/>
      <c r="E5" s="2"/>
      <c r="F5" s="2" t="s">
        <v>6</v>
      </c>
      <c r="G5" s="3">
        <v>4.4999999999999998E-2</v>
      </c>
      <c r="H5">
        <v>4.3</v>
      </c>
    </row>
    <row r="6" spans="1:8" x14ac:dyDescent="0.25">
      <c r="A6" s="2" t="s">
        <v>16</v>
      </c>
      <c r="B6" s="6">
        <v>256</v>
      </c>
      <c r="C6" s="2">
        <v>253</v>
      </c>
      <c r="D6" s="2"/>
      <c r="E6" s="2"/>
      <c r="F6" s="2" t="s">
        <v>4</v>
      </c>
      <c r="G6" s="3">
        <v>4.2000000000000003E-2</v>
      </c>
      <c r="H6">
        <v>3.4</v>
      </c>
    </row>
    <row r="7" spans="1:8" x14ac:dyDescent="0.25">
      <c r="A7" s="2" t="s">
        <v>15</v>
      </c>
      <c r="B7" s="4">
        <v>23.19</v>
      </c>
      <c r="C7" s="2">
        <v>23.2</v>
      </c>
      <c r="D7" s="2"/>
      <c r="E7" s="2"/>
      <c r="F7" s="2" t="s">
        <v>0</v>
      </c>
      <c r="G7" s="5">
        <v>8.5199999999999998E-2</v>
      </c>
      <c r="H7">
        <v>8.4700000000000006</v>
      </c>
    </row>
    <row r="8" spans="1:8" x14ac:dyDescent="0.25">
      <c r="A8" s="2" t="s">
        <v>0</v>
      </c>
      <c r="B8" s="3">
        <v>8.5000000000000006E-2</v>
      </c>
      <c r="C8" s="2">
        <v>8.4700000000000006</v>
      </c>
      <c r="D8" s="2"/>
      <c r="E8" s="2"/>
      <c r="F8" s="2" t="s">
        <v>1</v>
      </c>
      <c r="G8" s="3">
        <v>8.2900000000000001E-2</v>
      </c>
      <c r="H8">
        <v>8.3000000000000007</v>
      </c>
    </row>
    <row r="9" spans="1:8" x14ac:dyDescent="0.25">
      <c r="A9" s="2"/>
      <c r="B9" s="2"/>
      <c r="C9" s="2"/>
      <c r="D9" s="2"/>
      <c r="E9" s="2"/>
      <c r="F9" s="2"/>
      <c r="G9" s="2"/>
    </row>
    <row r="10" spans="1:8" x14ac:dyDescent="0.25">
      <c r="A10" s="9" t="s">
        <v>14</v>
      </c>
      <c r="B10" s="9" t="s">
        <v>23</v>
      </c>
      <c r="C10" s="9" t="s">
        <v>52</v>
      </c>
      <c r="D10" s="2"/>
      <c r="E10" s="2"/>
      <c r="F10" s="9" t="s">
        <v>13</v>
      </c>
      <c r="G10" s="9" t="s">
        <v>23</v>
      </c>
      <c r="H10" s="9" t="s">
        <v>52</v>
      </c>
    </row>
    <row r="11" spans="1:8" x14ac:dyDescent="0.25">
      <c r="A11" s="2" t="s">
        <v>21</v>
      </c>
      <c r="B11" s="8">
        <v>894000</v>
      </c>
      <c r="C11" s="2"/>
      <c r="D11" s="2"/>
      <c r="E11" s="2"/>
      <c r="F11" s="2" t="s">
        <v>20</v>
      </c>
      <c r="G11" s="3">
        <v>3.5999999999999999E-3</v>
      </c>
      <c r="H11">
        <v>1.92</v>
      </c>
    </row>
    <row r="12" spans="1:8" x14ac:dyDescent="0.25">
      <c r="A12" s="2" t="s">
        <v>19</v>
      </c>
      <c r="B12" s="2">
        <v>500000</v>
      </c>
      <c r="C12" s="2"/>
      <c r="D12" s="2"/>
      <c r="E12" s="2"/>
      <c r="F12" s="2" t="s">
        <v>18</v>
      </c>
      <c r="G12" s="3">
        <v>7.6E-3</v>
      </c>
      <c r="H12">
        <v>1.0900000000000001</v>
      </c>
    </row>
    <row r="13" spans="1:8" x14ac:dyDescent="0.25">
      <c r="A13" s="2" t="s">
        <v>17</v>
      </c>
      <c r="B13" s="8">
        <v>0</v>
      </c>
      <c r="C13" s="2">
        <v>-12690</v>
      </c>
      <c r="D13" s="2"/>
      <c r="E13" s="2"/>
      <c r="F13" s="2" t="s">
        <v>6</v>
      </c>
      <c r="G13" s="3">
        <v>3.2000000000000001E-2</v>
      </c>
      <c r="H13">
        <v>7.3</v>
      </c>
    </row>
    <row r="14" spans="1:8" x14ac:dyDescent="0.25">
      <c r="A14" s="2" t="s">
        <v>16</v>
      </c>
      <c r="B14" s="6">
        <v>557</v>
      </c>
      <c r="C14" s="2">
        <v>535</v>
      </c>
      <c r="D14" s="2"/>
      <c r="E14" s="2"/>
      <c r="F14" s="2" t="s">
        <v>4</v>
      </c>
      <c r="G14" s="3">
        <v>5.6000000000000001E-2</v>
      </c>
      <c r="H14">
        <v>7</v>
      </c>
    </row>
    <row r="15" spans="1:8" x14ac:dyDescent="0.25">
      <c r="A15" s="2" t="s">
        <v>15</v>
      </c>
      <c r="B15" s="4">
        <v>59.37</v>
      </c>
      <c r="C15" s="2">
        <v>62.92</v>
      </c>
      <c r="D15" s="2"/>
      <c r="E15" s="2"/>
      <c r="F15" s="2" t="s">
        <v>0</v>
      </c>
      <c r="G15" s="5">
        <v>5.7299999999999997E-2</v>
      </c>
      <c r="H15">
        <v>5.83</v>
      </c>
    </row>
    <row r="16" spans="1:8" x14ac:dyDescent="0.25">
      <c r="A16" s="2" t="s">
        <v>0</v>
      </c>
      <c r="B16" s="3">
        <v>0.06</v>
      </c>
      <c r="C16" s="2">
        <v>5.83</v>
      </c>
      <c r="D16" s="2"/>
      <c r="E16" s="2"/>
      <c r="F16" s="2" t="s">
        <v>1</v>
      </c>
      <c r="G16" s="3">
        <v>5.8799999999999998E-2</v>
      </c>
      <c r="H16">
        <v>5.95</v>
      </c>
    </row>
    <row r="17" spans="1:8" x14ac:dyDescent="0.25">
      <c r="A17" s="2"/>
      <c r="B17" s="2"/>
      <c r="C17" s="2"/>
      <c r="D17" s="2"/>
      <c r="E17" s="2"/>
      <c r="F17" s="2"/>
      <c r="G17" s="2"/>
    </row>
    <row r="18" spans="1:8" x14ac:dyDescent="0.25">
      <c r="A18" s="9" t="s">
        <v>14</v>
      </c>
      <c r="B18" s="9" t="s">
        <v>29</v>
      </c>
      <c r="C18" s="9" t="s">
        <v>52</v>
      </c>
      <c r="D18" s="2"/>
      <c r="E18" s="2"/>
      <c r="F18" s="9" t="s">
        <v>13</v>
      </c>
      <c r="G18" s="9" t="s">
        <v>29</v>
      </c>
      <c r="H18" s="9" t="s">
        <v>52</v>
      </c>
    </row>
    <row r="19" spans="1:8" x14ac:dyDescent="0.25">
      <c r="A19" s="2" t="s">
        <v>34</v>
      </c>
      <c r="B19" s="8">
        <v>115000</v>
      </c>
      <c r="C19" s="2">
        <v>198</v>
      </c>
      <c r="D19" s="2"/>
      <c r="E19" s="2"/>
      <c r="F19" s="2" t="s">
        <v>10</v>
      </c>
      <c r="G19" s="3">
        <v>0.8397</v>
      </c>
      <c r="H19">
        <v>80.400000000000006</v>
      </c>
    </row>
    <row r="20" spans="1:8" x14ac:dyDescent="0.25">
      <c r="A20" s="2" t="s">
        <v>35</v>
      </c>
      <c r="B20" s="2">
        <v>166</v>
      </c>
      <c r="C20" s="2">
        <v>159</v>
      </c>
      <c r="D20" s="2"/>
      <c r="E20" s="2"/>
      <c r="F20" s="2" t="s">
        <v>18</v>
      </c>
      <c r="G20" s="3">
        <v>0.81489999999999996</v>
      </c>
      <c r="H20">
        <v>80.36</v>
      </c>
    </row>
    <row r="21" spans="1:8" x14ac:dyDescent="0.25">
      <c r="A21" s="2" t="s">
        <v>32</v>
      </c>
      <c r="B21" s="8">
        <v>115000</v>
      </c>
      <c r="C21" s="2">
        <v>144000</v>
      </c>
      <c r="D21" s="2"/>
      <c r="E21" s="2"/>
      <c r="F21" s="2" t="s">
        <v>0</v>
      </c>
      <c r="G21" s="3">
        <v>0.08</v>
      </c>
      <c r="H21">
        <v>7.83</v>
      </c>
    </row>
    <row r="22" spans="1:8" x14ac:dyDescent="0.25">
      <c r="A22" s="2" t="s">
        <v>0</v>
      </c>
      <c r="B22" s="7">
        <v>0.08</v>
      </c>
      <c r="C22" s="2">
        <v>7.8</v>
      </c>
      <c r="D22" s="2"/>
      <c r="E22" s="2"/>
      <c r="F22" s="2" t="s">
        <v>1</v>
      </c>
      <c r="G22" s="3">
        <v>0.08</v>
      </c>
      <c r="H22">
        <v>7.92</v>
      </c>
    </row>
    <row r="23" spans="1:8" x14ac:dyDescent="0.25">
      <c r="A23" s="2"/>
      <c r="B23" s="6"/>
      <c r="C23" s="2"/>
      <c r="D23" s="2"/>
      <c r="E23" s="2"/>
      <c r="F23" s="2"/>
      <c r="G23" s="5"/>
    </row>
    <row r="24" spans="1:8" x14ac:dyDescent="0.25">
      <c r="A24" s="2"/>
      <c r="B24" s="3"/>
      <c r="C24" s="2"/>
      <c r="D24" s="2"/>
      <c r="E24" s="2"/>
      <c r="F24" s="2"/>
      <c r="G24" s="3"/>
    </row>
    <row r="25" spans="1:8" x14ac:dyDescent="0.25">
      <c r="A25" s="2"/>
      <c r="B25" s="2"/>
      <c r="C25" s="2"/>
      <c r="D25" s="2"/>
      <c r="E25" s="2"/>
      <c r="F25" s="2"/>
      <c r="G25" s="2"/>
    </row>
    <row r="26" spans="1:8" x14ac:dyDescent="0.25">
      <c r="A26" s="9" t="s">
        <v>14</v>
      </c>
      <c r="B26" s="9" t="s">
        <v>12</v>
      </c>
      <c r="C26" s="9" t="s">
        <v>52</v>
      </c>
      <c r="D26" s="2"/>
      <c r="E26" s="2"/>
      <c r="F26" s="9" t="s">
        <v>13</v>
      </c>
      <c r="G26" s="9" t="s">
        <v>12</v>
      </c>
      <c r="H26" s="9" t="s">
        <v>52</v>
      </c>
    </row>
    <row r="27" spans="1:8" x14ac:dyDescent="0.25">
      <c r="A27" s="2" t="s">
        <v>11</v>
      </c>
      <c r="B27" s="8">
        <v>490</v>
      </c>
      <c r="C27" s="2">
        <v>553</v>
      </c>
      <c r="D27" s="2"/>
      <c r="E27" s="2"/>
      <c r="F27" s="2" t="s">
        <v>10</v>
      </c>
      <c r="G27" s="3">
        <v>0.90400000000000003</v>
      </c>
    </row>
    <row r="28" spans="1:8" x14ac:dyDescent="0.25">
      <c r="A28" s="2" t="s">
        <v>9</v>
      </c>
      <c r="B28" s="8">
        <v>0</v>
      </c>
      <c r="C28" s="2"/>
      <c r="D28" s="2"/>
      <c r="E28" s="2"/>
      <c r="F28" s="2" t="s">
        <v>8</v>
      </c>
      <c r="G28" s="3">
        <v>0.76939999999999997</v>
      </c>
    </row>
    <row r="29" spans="1:8" x14ac:dyDescent="0.25">
      <c r="A29" s="2" t="s">
        <v>7</v>
      </c>
      <c r="B29" s="8">
        <v>-22</v>
      </c>
      <c r="C29" s="2">
        <v>-23</v>
      </c>
      <c r="D29" s="2"/>
      <c r="E29" s="2"/>
      <c r="F29" s="2" t="s">
        <v>6</v>
      </c>
      <c r="G29" s="3">
        <v>4.1000000000000002E-2</v>
      </c>
    </row>
    <row r="30" spans="1:8" x14ac:dyDescent="0.25">
      <c r="A30" s="2" t="s">
        <v>5</v>
      </c>
      <c r="B30" s="7">
        <v>0.23100000000000001</v>
      </c>
      <c r="C30" s="2">
        <v>21.5</v>
      </c>
      <c r="D30" s="2"/>
      <c r="E30" s="2"/>
      <c r="F30" s="2" t="s">
        <v>4</v>
      </c>
      <c r="G30" s="3">
        <v>5.0000000000000001E-3</v>
      </c>
    </row>
    <row r="31" spans="1:8" x14ac:dyDescent="0.25">
      <c r="A31" s="2" t="s">
        <v>3</v>
      </c>
      <c r="B31" s="6">
        <v>1055</v>
      </c>
      <c r="C31" s="2">
        <v>1193</v>
      </c>
      <c r="D31" s="2"/>
      <c r="E31" s="2"/>
      <c r="F31" s="2" t="s">
        <v>0</v>
      </c>
      <c r="G31" s="5">
        <v>5.5500000000000001E-2</v>
      </c>
    </row>
    <row r="32" spans="1:8" x14ac:dyDescent="0.25">
      <c r="A32" s="2" t="s">
        <v>2</v>
      </c>
      <c r="B32" s="4">
        <v>164000</v>
      </c>
      <c r="C32" s="2">
        <v>178000</v>
      </c>
      <c r="D32" s="2"/>
      <c r="E32" s="2"/>
      <c r="F32" s="2" t="s">
        <v>1</v>
      </c>
      <c r="G32" s="3">
        <v>5.5199999999999999E-2</v>
      </c>
    </row>
    <row r="33" spans="1:7" x14ac:dyDescent="0.25">
      <c r="A33" s="2" t="s">
        <v>0</v>
      </c>
      <c r="B33" s="3">
        <v>5.6000000000000001E-2</v>
      </c>
      <c r="C33" s="2">
        <v>5.5</v>
      </c>
      <c r="D33" s="2"/>
      <c r="E33" s="2"/>
      <c r="F33" s="2"/>
      <c r="G33" s="2"/>
    </row>
    <row r="34" spans="1:7" x14ac:dyDescent="0.25">
      <c r="A34" s="9"/>
      <c r="B34" s="9"/>
      <c r="C34" s="2"/>
      <c r="D34" s="2"/>
      <c r="E34" s="2"/>
      <c r="F34" s="9"/>
      <c r="G34" s="9"/>
    </row>
    <row r="35" spans="1:7" x14ac:dyDescent="0.25">
      <c r="A35" s="2"/>
      <c r="B35" s="8"/>
      <c r="C35" s="2"/>
      <c r="D35" s="2"/>
      <c r="E35" s="2"/>
      <c r="F35" s="2"/>
      <c r="G35" s="3"/>
    </row>
    <row r="36" spans="1:7" x14ac:dyDescent="0.25">
      <c r="A36" s="2"/>
      <c r="B36" s="8"/>
      <c r="C36" s="2"/>
      <c r="D36" s="2"/>
      <c r="E36" s="2"/>
      <c r="F36" s="2"/>
      <c r="G36" s="3"/>
    </row>
    <row r="37" spans="1:7" x14ac:dyDescent="0.25">
      <c r="A37" s="2"/>
      <c r="B37" s="8"/>
      <c r="C37" s="2"/>
      <c r="D37" s="2"/>
      <c r="E37" s="2"/>
      <c r="F37" s="2"/>
      <c r="G37" s="3"/>
    </row>
    <row r="38" spans="1:7" x14ac:dyDescent="0.25">
      <c r="A38" s="2"/>
      <c r="B38" s="6"/>
      <c r="C38" s="2"/>
      <c r="D38" s="2"/>
      <c r="E38" s="2"/>
      <c r="F38" s="2"/>
      <c r="G38" s="3"/>
    </row>
    <row r="39" spans="1:7" x14ac:dyDescent="0.25">
      <c r="A39" s="2"/>
      <c r="B39" s="4"/>
      <c r="C39" s="2"/>
      <c r="D39" s="2"/>
      <c r="E39" s="2"/>
      <c r="F39" s="2"/>
      <c r="G39" s="5"/>
    </row>
    <row r="40" spans="1:7" x14ac:dyDescent="0.25">
      <c r="A40" s="2"/>
      <c r="B40" s="3"/>
      <c r="C40" s="2"/>
      <c r="D40" s="2"/>
      <c r="E40" s="2"/>
      <c r="F40" s="2"/>
      <c r="G40" s="3"/>
    </row>
    <row r="41" spans="1:7" x14ac:dyDescent="0.25">
      <c r="A41" s="2"/>
      <c r="B41" s="2"/>
      <c r="C41" s="2"/>
      <c r="D41" s="2"/>
      <c r="E41" s="2"/>
      <c r="F41" s="2"/>
      <c r="G41" s="2"/>
    </row>
    <row r="42" spans="1:7" x14ac:dyDescent="0.25">
      <c r="A42" s="9"/>
      <c r="B42" s="9"/>
      <c r="C42" s="2"/>
      <c r="D42" s="2"/>
      <c r="E42" s="2"/>
      <c r="F42" s="9"/>
      <c r="G42" s="9"/>
    </row>
    <row r="43" spans="1:7" x14ac:dyDescent="0.25">
      <c r="A43" s="2"/>
      <c r="B43" s="8"/>
      <c r="C43" s="2"/>
      <c r="D43" s="2"/>
      <c r="E43" s="2"/>
      <c r="F43" s="2"/>
      <c r="G43" s="3"/>
    </row>
    <row r="44" spans="1:7" x14ac:dyDescent="0.25">
      <c r="A44" s="2"/>
      <c r="B44" s="2"/>
      <c r="C44" s="2"/>
      <c r="D44" s="2"/>
      <c r="E44" s="2"/>
      <c r="F44" s="2"/>
      <c r="G44" s="3"/>
    </row>
    <row r="45" spans="1:7" x14ac:dyDescent="0.25">
      <c r="A45" s="2"/>
      <c r="B45" s="8"/>
      <c r="C45" s="2"/>
      <c r="D45" s="2"/>
      <c r="E45" s="2"/>
      <c r="F45" s="2"/>
      <c r="G45" s="3"/>
    </row>
    <row r="46" spans="1:7" x14ac:dyDescent="0.25">
      <c r="A46" s="2"/>
      <c r="B46" s="6"/>
      <c r="C46" s="2"/>
      <c r="D46" s="2"/>
      <c r="E46" s="2"/>
      <c r="F46" s="2"/>
      <c r="G46" s="3"/>
    </row>
    <row r="47" spans="1:7" x14ac:dyDescent="0.25">
      <c r="A47" s="2"/>
      <c r="B47" s="4"/>
      <c r="C47" s="2"/>
      <c r="D47" s="2"/>
      <c r="E47" s="2"/>
      <c r="F47" s="2"/>
      <c r="G47" s="5"/>
    </row>
    <row r="48" spans="1:7" x14ac:dyDescent="0.25">
      <c r="A48" s="2"/>
      <c r="B48" s="3"/>
      <c r="C48" s="2"/>
      <c r="D48" s="2"/>
      <c r="E48" s="2"/>
      <c r="F48" s="2"/>
      <c r="G48" s="3"/>
    </row>
    <row r="49" spans="1:7" x14ac:dyDescent="0.25">
      <c r="A49" s="2"/>
      <c r="B49" s="2"/>
      <c r="C49" s="2"/>
      <c r="D49" s="2"/>
      <c r="E49" s="2"/>
      <c r="F49" s="2"/>
      <c r="G49" s="2"/>
    </row>
    <row r="50" spans="1:7" x14ac:dyDescent="0.25">
      <c r="A50" s="9"/>
      <c r="B50" s="9"/>
      <c r="C50" s="2"/>
      <c r="D50" s="2"/>
      <c r="E50" s="2"/>
      <c r="F50" s="9"/>
      <c r="G50" s="9"/>
    </row>
    <row r="51" spans="1:7" x14ac:dyDescent="0.25">
      <c r="A51" s="2"/>
      <c r="B51" s="8"/>
      <c r="C51" s="2"/>
      <c r="D51" s="2"/>
      <c r="E51" s="2"/>
      <c r="F51" s="2"/>
      <c r="G51" s="3"/>
    </row>
    <row r="52" spans="1:7" x14ac:dyDescent="0.25">
      <c r="A52" s="2"/>
      <c r="B52" s="2"/>
      <c r="C52" s="2"/>
      <c r="D52" s="2"/>
      <c r="E52" s="2"/>
      <c r="F52" s="2"/>
      <c r="G52" s="3"/>
    </row>
    <row r="53" spans="1:7" x14ac:dyDescent="0.25">
      <c r="A53" s="2"/>
      <c r="B53" s="8"/>
      <c r="C53" s="2"/>
      <c r="D53" s="2"/>
      <c r="E53" s="2"/>
      <c r="F53" s="2"/>
      <c r="G53" s="3"/>
    </row>
    <row r="54" spans="1:7" x14ac:dyDescent="0.25">
      <c r="A54" s="2"/>
      <c r="B54" s="4"/>
      <c r="C54" s="2"/>
      <c r="D54" s="2"/>
      <c r="E54" s="2"/>
      <c r="F54" s="2"/>
      <c r="G54" s="3"/>
    </row>
    <row r="55" spans="1:7" x14ac:dyDescent="0.25">
      <c r="A55" s="2"/>
      <c r="B55" s="6"/>
      <c r="C55" s="2"/>
      <c r="D55" s="2"/>
      <c r="E55" s="2"/>
      <c r="F55" s="2"/>
      <c r="G55" s="5"/>
    </row>
    <row r="56" spans="1:7" x14ac:dyDescent="0.25">
      <c r="A56" s="2"/>
      <c r="B56" s="3"/>
      <c r="C56" s="2"/>
      <c r="D56" s="2"/>
      <c r="E56" s="2"/>
      <c r="F56" s="2"/>
      <c r="G56" s="3"/>
    </row>
    <row r="57" spans="1:7" x14ac:dyDescent="0.25">
      <c r="A57" s="2"/>
      <c r="B57" s="2"/>
      <c r="C57" s="2"/>
      <c r="D57" s="2"/>
      <c r="E57" s="2"/>
      <c r="F57" s="2"/>
      <c r="G57" s="2"/>
    </row>
    <row r="58" spans="1:7" x14ac:dyDescent="0.25">
      <c r="A58" s="9"/>
      <c r="B58" s="9"/>
      <c r="C58" s="2"/>
      <c r="D58" s="2"/>
      <c r="E58" s="2"/>
      <c r="F58" s="9"/>
      <c r="G58" s="9"/>
    </row>
    <row r="59" spans="1:7" x14ac:dyDescent="0.25">
      <c r="A59" s="2"/>
      <c r="B59" s="8"/>
      <c r="C59" s="2"/>
      <c r="D59" s="2"/>
      <c r="E59" s="2"/>
      <c r="F59" s="2"/>
      <c r="G59" s="3"/>
    </row>
    <row r="60" spans="1:7" x14ac:dyDescent="0.25">
      <c r="A60" s="2"/>
      <c r="B60" s="8"/>
      <c r="C60" s="2"/>
      <c r="D60" s="2"/>
      <c r="E60" s="2"/>
      <c r="F60" s="2"/>
      <c r="G60" s="3"/>
    </row>
    <row r="61" spans="1:7" x14ac:dyDescent="0.25">
      <c r="A61" s="2"/>
      <c r="B61" s="8"/>
      <c r="C61" s="2"/>
      <c r="D61" s="2"/>
      <c r="E61" s="2"/>
      <c r="F61" s="2"/>
      <c r="G61" s="3"/>
    </row>
    <row r="62" spans="1:7" x14ac:dyDescent="0.25">
      <c r="A62" s="2"/>
      <c r="B62" s="7"/>
      <c r="C62" s="2"/>
      <c r="D62" s="2"/>
      <c r="E62" s="2"/>
      <c r="F62" s="2"/>
      <c r="G62" s="3"/>
    </row>
    <row r="63" spans="1:7" x14ac:dyDescent="0.25">
      <c r="A63" s="2"/>
      <c r="B63" s="6"/>
      <c r="C63" s="2"/>
      <c r="D63" s="2"/>
      <c r="E63" s="2"/>
      <c r="F63" s="2"/>
      <c r="G63" s="5"/>
    </row>
    <row r="64" spans="1:7" x14ac:dyDescent="0.25">
      <c r="A64" s="2"/>
      <c r="B64" s="4"/>
      <c r="C64" s="2"/>
      <c r="D64" s="2"/>
      <c r="E64" s="2"/>
      <c r="F64" s="2"/>
      <c r="G64" s="3"/>
    </row>
    <row r="65" spans="1:7" x14ac:dyDescent="0.25">
      <c r="A65" s="2"/>
      <c r="B65" s="3"/>
      <c r="C65" s="2"/>
      <c r="D65" s="2"/>
      <c r="E65" s="2"/>
      <c r="F65" s="2"/>
      <c r="G65" s="2"/>
    </row>
  </sheetData>
  <conditionalFormatting sqref="G35">
    <cfRule type="cellIs" dxfId="115" priority="45" operator="lessThan">
      <formula>$H$15</formula>
    </cfRule>
    <cfRule type="cellIs" dxfId="114" priority="46" operator="greaterThan">
      <formula>$H$15</formula>
    </cfRule>
  </conditionalFormatting>
  <conditionalFormatting sqref="G37">
    <cfRule type="cellIs" dxfId="113" priority="36" operator="lessThan">
      <formula>$H$9</formula>
    </cfRule>
  </conditionalFormatting>
  <conditionalFormatting sqref="G39">
    <cfRule type="cellIs" dxfId="112" priority="33" operator="greaterThan">
      <formula>$H$11</formula>
    </cfRule>
    <cfRule type="cellIs" dxfId="111" priority="34" operator="greaterThan">
      <formula>"6.68%$H$10"</formula>
    </cfRule>
    <cfRule type="cellIs" dxfId="110" priority="35" operator="lessThan">
      <formula>$H$11</formula>
    </cfRule>
  </conditionalFormatting>
  <conditionalFormatting sqref="G43">
    <cfRule type="cellIs" dxfId="109" priority="47" operator="lessThan">
      <formula>$H$15</formula>
    </cfRule>
    <cfRule type="cellIs" dxfId="108" priority="48" operator="greaterThan">
      <formula>$H$15</formula>
    </cfRule>
  </conditionalFormatting>
  <conditionalFormatting sqref="G45">
    <cfRule type="cellIs" dxfId="107" priority="32" operator="greaterThan">
      <formula>$H$17</formula>
    </cfRule>
  </conditionalFormatting>
  <conditionalFormatting sqref="G47">
    <cfRule type="cellIs" dxfId="106" priority="31" operator="lessThan">
      <formula>$H$19</formula>
    </cfRule>
  </conditionalFormatting>
  <conditionalFormatting sqref="G51">
    <cfRule type="cellIs" dxfId="105" priority="43" operator="lessThan">
      <formula>$H$15</formula>
    </cfRule>
    <cfRule type="cellIs" dxfId="104" priority="44" operator="greaterThan">
      <formula>$H$15</formula>
    </cfRule>
  </conditionalFormatting>
  <conditionalFormatting sqref="G53">
    <cfRule type="cellIs" dxfId="103" priority="40" operator="lessThan">
      <formula>$H$25</formula>
    </cfRule>
  </conditionalFormatting>
  <conditionalFormatting sqref="G55">
    <cfRule type="cellIs" dxfId="102" priority="30" operator="greaterThan">
      <formula>$H$27</formula>
    </cfRule>
    <cfRule type="cellIs" dxfId="101" priority="37" operator="lessThan">
      <formula>$H$27</formula>
    </cfRule>
  </conditionalFormatting>
  <conditionalFormatting sqref="G59">
    <cfRule type="cellIs" dxfId="100" priority="41" operator="greaterThan">
      <formula>G60</formula>
    </cfRule>
    <cfRule type="cellIs" dxfId="99" priority="42" operator="lessThan">
      <formula>G60</formula>
    </cfRule>
  </conditionalFormatting>
  <conditionalFormatting sqref="G61">
    <cfRule type="cellIs" dxfId="98" priority="39" operator="lessThan">
      <formula>$H$33</formula>
    </cfRule>
  </conditionalFormatting>
  <conditionalFormatting sqref="G63">
    <cfRule type="cellIs" dxfId="97" priority="38" operator="greaterThan">
      <formula>$H$35</formula>
    </cfRule>
  </conditionalFormatting>
  <conditionalFormatting sqref="G63:G64">
    <cfRule type="cellIs" dxfId="96" priority="29" operator="greaterThan">
      <formula>$H$35</formula>
    </cfRule>
  </conditionalFormatting>
  <conditionalFormatting sqref="G5">
    <cfRule type="cellIs" dxfId="95" priority="16" operator="lessThan">
      <formula>$H$9</formula>
    </cfRule>
  </conditionalFormatting>
  <conditionalFormatting sqref="G7">
    <cfRule type="cellIs" dxfId="94" priority="13" operator="greaterThan">
      <formula>$H$11</formula>
    </cfRule>
    <cfRule type="cellIs" dxfId="93" priority="14" operator="greaterThan">
      <formula>"6.68%$H$10"</formula>
    </cfRule>
    <cfRule type="cellIs" dxfId="92" priority="15" operator="lessThan">
      <formula>$H$11</formula>
    </cfRule>
  </conditionalFormatting>
  <conditionalFormatting sqref="G15">
    <cfRule type="cellIs" dxfId="91" priority="11" operator="lessThan">
      <formula>$H$19</formula>
    </cfRule>
  </conditionalFormatting>
  <conditionalFormatting sqref="G21">
    <cfRule type="cellIs" dxfId="90" priority="20" operator="lessThan">
      <formula>$H$25</formula>
    </cfRule>
  </conditionalFormatting>
  <conditionalFormatting sqref="G23">
    <cfRule type="cellIs" dxfId="89" priority="10" operator="greaterThan">
      <formula>$H$27</formula>
    </cfRule>
    <cfRule type="cellIs" dxfId="88" priority="17" operator="lessThan">
      <formula>$H$27</formula>
    </cfRule>
  </conditionalFormatting>
  <conditionalFormatting sqref="G27">
    <cfRule type="cellIs" dxfId="87" priority="21" operator="greaterThan">
      <formula>G28</formula>
    </cfRule>
    <cfRule type="cellIs" dxfId="86" priority="22" operator="lessThan">
      <formula>G28</formula>
    </cfRule>
  </conditionalFormatting>
  <conditionalFormatting sqref="G29">
    <cfRule type="cellIs" dxfId="85" priority="19" operator="lessThan">
      <formula>$H$33</formula>
    </cfRule>
  </conditionalFormatting>
  <conditionalFormatting sqref="G31">
    <cfRule type="cellIs" dxfId="84" priority="18" operator="greaterThan">
      <formula>$H$35</formula>
    </cfRule>
  </conditionalFormatting>
  <conditionalFormatting sqref="G31:G32">
    <cfRule type="cellIs" dxfId="83" priority="9" operator="greaterThan">
      <formula>$H$35</formula>
    </cfRule>
  </conditionalFormatting>
  <conditionalFormatting sqref="G3">
    <cfRule type="cellIs" dxfId="82" priority="6" operator="greaterThan">
      <formula>$H$11</formula>
    </cfRule>
    <cfRule type="cellIs" dxfId="81" priority="7" operator="greaterThan">
      <formula>"6.68%$H$10"</formula>
    </cfRule>
    <cfRule type="cellIs" dxfId="80" priority="8" operator="lessThan">
      <formula>$H$11</formula>
    </cfRule>
  </conditionalFormatting>
  <conditionalFormatting sqref="G11">
    <cfRule type="cellIs" dxfId="79" priority="5" operator="greaterThan">
      <formula>$H$17</formula>
    </cfRule>
  </conditionalFormatting>
  <conditionalFormatting sqref="G13">
    <cfRule type="cellIs" dxfId="78" priority="3" operator="lessThan">
      <formula>$H$15</formula>
    </cfRule>
    <cfRule type="cellIs" dxfId="77" priority="4" operator="greaterThan">
      <formula>$H$15</formula>
    </cfRule>
  </conditionalFormatting>
  <conditionalFormatting sqref="G20">
    <cfRule type="cellIs" dxfId="76" priority="2" operator="greaterThan">
      <formula>$H$17</formula>
    </cfRule>
  </conditionalFormatting>
  <conditionalFormatting sqref="G19">
    <cfRule type="cellIs" dxfId="75" priority="1" operator="greaterThan">
      <formula>$H$17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65453-445C-4DEF-8243-BD174A05E91B}">
  <dimension ref="A1:H33"/>
  <sheetViews>
    <sheetView workbookViewId="0"/>
  </sheetViews>
  <sheetFormatPr defaultRowHeight="15.75" x14ac:dyDescent="0.25"/>
  <cols>
    <col min="1" max="1" width="24.125" bestFit="1" customWidth="1"/>
    <col min="2" max="2" width="10.875" bestFit="1" customWidth="1"/>
    <col min="6" max="6" width="30.75" bestFit="1" customWidth="1"/>
    <col min="7" max="7" width="10.875" bestFit="1" customWidth="1"/>
  </cols>
  <sheetData>
    <row r="1" spans="1:8" x14ac:dyDescent="0.25">
      <c r="A1" t="s">
        <v>51</v>
      </c>
    </row>
    <row r="2" spans="1:8" x14ac:dyDescent="0.25">
      <c r="A2" s="9" t="s">
        <v>14</v>
      </c>
      <c r="B2" s="9" t="s">
        <v>24</v>
      </c>
      <c r="C2" s="9" t="s">
        <v>52</v>
      </c>
      <c r="D2" s="2"/>
      <c r="E2" s="2"/>
      <c r="F2" s="9" t="s">
        <v>25</v>
      </c>
      <c r="G2" s="9" t="s">
        <v>24</v>
      </c>
      <c r="H2" s="9" t="s">
        <v>52</v>
      </c>
    </row>
    <row r="3" spans="1:8" x14ac:dyDescent="0.25">
      <c r="A3" s="2" t="s">
        <v>21</v>
      </c>
      <c r="B3" s="8">
        <v>414000</v>
      </c>
      <c r="C3" s="2"/>
      <c r="D3" s="2"/>
      <c r="E3" s="2"/>
      <c r="F3" s="2" t="s">
        <v>20</v>
      </c>
      <c r="G3" s="5">
        <v>0.11899999999999999</v>
      </c>
    </row>
    <row r="4" spans="1:8" x14ac:dyDescent="0.25">
      <c r="A4" s="2" t="s">
        <v>19</v>
      </c>
      <c r="B4" s="8" t="s">
        <v>31</v>
      </c>
      <c r="C4" s="2"/>
      <c r="D4" s="2"/>
      <c r="E4" s="2"/>
      <c r="F4" s="2" t="s">
        <v>18</v>
      </c>
      <c r="G4" s="3">
        <v>8.4500000000000006E-2</v>
      </c>
    </row>
    <row r="5" spans="1:8" x14ac:dyDescent="0.25">
      <c r="A5" s="2" t="s">
        <v>17</v>
      </c>
      <c r="B5" s="8">
        <v>-34300</v>
      </c>
      <c r="C5" s="2"/>
      <c r="D5" s="2"/>
      <c r="E5" s="2"/>
      <c r="F5" s="2" t="s">
        <v>6</v>
      </c>
      <c r="G5" s="3">
        <v>5.8999999999999997E-2</v>
      </c>
    </row>
    <row r="6" spans="1:8" x14ac:dyDescent="0.25">
      <c r="A6" s="2" t="s">
        <v>16</v>
      </c>
      <c r="B6" s="6">
        <v>228</v>
      </c>
      <c r="C6" s="2"/>
      <c r="D6" s="2"/>
      <c r="E6" s="2"/>
      <c r="F6" s="2" t="s">
        <v>4</v>
      </c>
      <c r="G6" s="3">
        <v>5.1999999999999998E-2</v>
      </c>
    </row>
    <row r="7" spans="1:8" x14ac:dyDescent="0.25">
      <c r="A7" s="2" t="s">
        <v>15</v>
      </c>
      <c r="B7" s="4">
        <v>23.69</v>
      </c>
      <c r="C7" s="2"/>
      <c r="D7" s="2"/>
      <c r="E7" s="2"/>
      <c r="F7" s="2" t="s">
        <v>0</v>
      </c>
      <c r="G7" s="5">
        <v>8.48E-2</v>
      </c>
    </row>
    <row r="8" spans="1:8" x14ac:dyDescent="0.25">
      <c r="A8" s="2" t="s">
        <v>0</v>
      </c>
      <c r="B8" s="3">
        <v>8.5000000000000006E-2</v>
      </c>
      <c r="C8" s="2"/>
      <c r="D8" s="2"/>
      <c r="E8" s="2"/>
      <c r="F8" s="2" t="s">
        <v>1</v>
      </c>
      <c r="G8" s="3">
        <v>8.2500000000000004E-2</v>
      </c>
    </row>
    <row r="9" spans="1:8" x14ac:dyDescent="0.25">
      <c r="A9" s="2"/>
      <c r="B9" s="2"/>
      <c r="C9" s="2"/>
      <c r="D9" s="2"/>
      <c r="E9" s="2"/>
      <c r="F9" s="2"/>
      <c r="G9" s="2"/>
    </row>
    <row r="10" spans="1:8" x14ac:dyDescent="0.25">
      <c r="A10" s="9" t="s">
        <v>14</v>
      </c>
      <c r="B10" s="9" t="s">
        <v>23</v>
      </c>
      <c r="C10" s="9" t="s">
        <v>52</v>
      </c>
      <c r="D10" s="2"/>
      <c r="E10" s="2"/>
      <c r="F10" s="9" t="s">
        <v>13</v>
      </c>
      <c r="G10" s="9" t="s">
        <v>23</v>
      </c>
      <c r="H10" s="9" t="s">
        <v>52</v>
      </c>
    </row>
    <row r="11" spans="1:8" x14ac:dyDescent="0.25">
      <c r="A11" s="2" t="s">
        <v>21</v>
      </c>
      <c r="B11" s="8">
        <v>2500000</v>
      </c>
      <c r="C11" s="2"/>
      <c r="D11" s="2"/>
      <c r="E11" s="2"/>
      <c r="F11" s="2" t="s">
        <v>20</v>
      </c>
      <c r="G11" s="3">
        <v>9.9699999999999997E-2</v>
      </c>
    </row>
    <row r="12" spans="1:8" x14ac:dyDescent="0.25">
      <c r="A12" s="2" t="s">
        <v>19</v>
      </c>
      <c r="B12" s="2">
        <v>500000</v>
      </c>
      <c r="C12" s="2"/>
      <c r="D12" s="2"/>
      <c r="E12" s="2"/>
      <c r="F12" s="2" t="s">
        <v>18</v>
      </c>
      <c r="G12" s="3">
        <v>3.9199999999999999E-2</v>
      </c>
    </row>
    <row r="13" spans="1:8" x14ac:dyDescent="0.25">
      <c r="A13" s="2" t="s">
        <v>17</v>
      </c>
      <c r="B13" s="8">
        <v>5800</v>
      </c>
      <c r="C13" s="2"/>
      <c r="D13" s="2"/>
      <c r="E13" s="2"/>
      <c r="F13" s="2" t="s">
        <v>6</v>
      </c>
      <c r="G13" s="3">
        <v>8.5000000000000006E-2</v>
      </c>
    </row>
    <row r="14" spans="1:8" x14ac:dyDescent="0.25">
      <c r="A14" s="2" t="s">
        <v>16</v>
      </c>
      <c r="B14" s="6">
        <v>428</v>
      </c>
      <c r="C14" s="2"/>
      <c r="D14" s="2"/>
      <c r="E14" s="2"/>
      <c r="F14" s="2" t="s">
        <v>4</v>
      </c>
      <c r="G14" s="3">
        <v>7.6999999999999999E-2</v>
      </c>
    </row>
    <row r="15" spans="1:8" x14ac:dyDescent="0.25">
      <c r="A15" s="2" t="s">
        <v>15</v>
      </c>
      <c r="B15" s="4">
        <v>70</v>
      </c>
      <c r="C15" s="2"/>
      <c r="D15" s="2"/>
      <c r="E15" s="2"/>
      <c r="F15" s="2" t="s">
        <v>0</v>
      </c>
      <c r="G15" s="5">
        <v>6.2799999999999995E-2</v>
      </c>
    </row>
    <row r="16" spans="1:8" x14ac:dyDescent="0.25">
      <c r="A16" s="2" t="s">
        <v>0</v>
      </c>
      <c r="B16" s="3">
        <v>6.3E-2</v>
      </c>
      <c r="C16" s="2"/>
      <c r="D16" s="2"/>
      <c r="E16" s="2"/>
      <c r="F16" s="2" t="s">
        <v>1</v>
      </c>
      <c r="G16" s="3">
        <v>6.2100000000000002E-2</v>
      </c>
    </row>
    <row r="17" spans="1:8" x14ac:dyDescent="0.25">
      <c r="A17" s="2"/>
      <c r="B17" s="2"/>
      <c r="C17" s="2"/>
      <c r="D17" s="2"/>
      <c r="E17" s="2"/>
      <c r="F17" s="2"/>
      <c r="G17" s="2"/>
    </row>
    <row r="18" spans="1:8" x14ac:dyDescent="0.25">
      <c r="A18" s="9" t="s">
        <v>14</v>
      </c>
      <c r="B18" s="9" t="s">
        <v>29</v>
      </c>
      <c r="C18" s="9" t="s">
        <v>52</v>
      </c>
      <c r="D18" s="2"/>
      <c r="E18" s="2"/>
      <c r="F18" s="9" t="s">
        <v>13</v>
      </c>
      <c r="G18" s="9" t="s">
        <v>29</v>
      </c>
      <c r="H18" s="9" t="s">
        <v>52</v>
      </c>
    </row>
    <row r="19" spans="1:8" x14ac:dyDescent="0.25">
      <c r="A19" s="2" t="s">
        <v>34</v>
      </c>
      <c r="B19" s="8">
        <v>235</v>
      </c>
      <c r="C19" s="2"/>
      <c r="D19" s="2"/>
      <c r="E19" s="2"/>
      <c r="F19" s="2" t="s">
        <v>10</v>
      </c>
      <c r="G19" s="3">
        <v>0.85289999999999999</v>
      </c>
    </row>
    <row r="20" spans="1:8" x14ac:dyDescent="0.25">
      <c r="A20" s="2" t="s">
        <v>35</v>
      </c>
      <c r="B20" s="2">
        <v>201</v>
      </c>
      <c r="C20" s="2"/>
      <c r="D20" s="2"/>
      <c r="E20" s="2"/>
      <c r="F20" s="2" t="s">
        <v>18</v>
      </c>
      <c r="G20" s="3">
        <v>0.84140000000000004</v>
      </c>
    </row>
    <row r="21" spans="1:8" x14ac:dyDescent="0.25">
      <c r="A21" s="2" t="s">
        <v>32</v>
      </c>
      <c r="B21" s="8">
        <v>115000</v>
      </c>
      <c r="C21" s="2"/>
      <c r="D21" s="2"/>
      <c r="E21" s="2"/>
      <c r="F21" s="2" t="s">
        <v>0</v>
      </c>
      <c r="G21" s="3">
        <v>7.8600000000000003E-2</v>
      </c>
    </row>
    <row r="22" spans="1:8" x14ac:dyDescent="0.25">
      <c r="A22" s="2" t="s">
        <v>0</v>
      </c>
      <c r="B22" s="7">
        <v>0.08</v>
      </c>
      <c r="C22" s="2"/>
      <c r="D22" s="2"/>
      <c r="E22" s="2"/>
      <c r="F22" s="2" t="s">
        <v>1</v>
      </c>
      <c r="G22" s="3">
        <v>7.7799999999999994E-2</v>
      </c>
    </row>
    <row r="23" spans="1:8" x14ac:dyDescent="0.25">
      <c r="A23" s="2"/>
      <c r="B23" s="6"/>
      <c r="C23" s="2"/>
      <c r="D23" s="2"/>
      <c r="E23" s="2"/>
      <c r="F23" s="2"/>
      <c r="G23" s="5"/>
    </row>
    <row r="24" spans="1:8" x14ac:dyDescent="0.25">
      <c r="A24" s="2"/>
      <c r="B24" s="3"/>
      <c r="C24" s="2"/>
      <c r="D24" s="2"/>
      <c r="E24" s="2"/>
      <c r="F24" s="2"/>
      <c r="G24" s="3"/>
    </row>
    <row r="25" spans="1:8" x14ac:dyDescent="0.25">
      <c r="A25" s="2"/>
      <c r="B25" s="2"/>
      <c r="C25" s="2"/>
      <c r="D25" s="2"/>
      <c r="E25" s="2"/>
      <c r="F25" s="2"/>
      <c r="G25" s="2"/>
    </row>
    <row r="26" spans="1:8" x14ac:dyDescent="0.25">
      <c r="A26" s="9" t="s">
        <v>14</v>
      </c>
      <c r="B26" s="9" t="s">
        <v>12</v>
      </c>
      <c r="C26" s="9" t="s">
        <v>52</v>
      </c>
      <c r="D26" s="2"/>
      <c r="E26" s="2"/>
      <c r="F26" s="9" t="s">
        <v>13</v>
      </c>
      <c r="G26" s="9" t="s">
        <v>12</v>
      </c>
      <c r="H26" s="9" t="s">
        <v>52</v>
      </c>
    </row>
    <row r="27" spans="1:8" x14ac:dyDescent="0.25">
      <c r="A27" s="2" t="s">
        <v>11</v>
      </c>
      <c r="B27" s="8">
        <v>4527</v>
      </c>
      <c r="C27" s="2"/>
      <c r="D27" s="2"/>
      <c r="E27" s="2"/>
      <c r="F27" s="2" t="s">
        <v>10</v>
      </c>
      <c r="G27" s="3">
        <v>0.77190000000000003</v>
      </c>
    </row>
    <row r="28" spans="1:8" x14ac:dyDescent="0.25">
      <c r="A28" s="2" t="s">
        <v>9</v>
      </c>
      <c r="B28" s="8">
        <v>0</v>
      </c>
      <c r="C28" s="2"/>
      <c r="D28" s="2"/>
      <c r="E28" s="2"/>
      <c r="F28" s="2" t="s">
        <v>8</v>
      </c>
      <c r="G28" s="3">
        <v>0.87270000000000003</v>
      </c>
    </row>
    <row r="29" spans="1:8" x14ac:dyDescent="0.25">
      <c r="A29" s="2" t="s">
        <v>7</v>
      </c>
      <c r="B29" s="8">
        <v>2</v>
      </c>
      <c r="C29" s="2"/>
      <c r="D29" s="2"/>
      <c r="E29" s="2"/>
      <c r="F29" s="2" t="s">
        <v>6</v>
      </c>
      <c r="G29" s="3">
        <v>3.0000000000000001E-3</v>
      </c>
    </row>
    <row r="30" spans="1:8" x14ac:dyDescent="0.25">
      <c r="A30" s="2" t="s">
        <v>5</v>
      </c>
      <c r="B30" s="7">
        <v>0.22800000000000001</v>
      </c>
      <c r="C30" s="2"/>
      <c r="D30" s="2"/>
      <c r="E30" s="2"/>
      <c r="F30" s="2" t="s">
        <v>4</v>
      </c>
      <c r="G30" s="3">
        <v>2.8000000000000001E-2</v>
      </c>
    </row>
    <row r="31" spans="1:8" x14ac:dyDescent="0.25">
      <c r="A31" s="2" t="s">
        <v>3</v>
      </c>
      <c r="B31" s="6">
        <v>1499</v>
      </c>
      <c r="C31" s="2"/>
      <c r="D31" s="2"/>
      <c r="E31" s="2"/>
      <c r="F31" s="2" t="s">
        <v>0</v>
      </c>
      <c r="G31" s="5">
        <v>5.0599999999999999E-2</v>
      </c>
    </row>
    <row r="32" spans="1:8" x14ac:dyDescent="0.25">
      <c r="A32" s="2" t="s">
        <v>2</v>
      </c>
      <c r="B32" s="4">
        <v>255000</v>
      </c>
      <c r="C32" s="2"/>
      <c r="D32" s="2"/>
      <c r="E32" s="2"/>
      <c r="F32" s="2" t="s">
        <v>1</v>
      </c>
      <c r="G32" s="3">
        <v>4.8899999999999999E-2</v>
      </c>
    </row>
    <row r="33" spans="1:7" x14ac:dyDescent="0.25">
      <c r="A33" s="2" t="s">
        <v>0</v>
      </c>
      <c r="B33" s="3">
        <v>5.0999999999999997E-2</v>
      </c>
      <c r="C33" s="2"/>
      <c r="D33" s="2"/>
      <c r="E33" s="2"/>
      <c r="F33" s="2"/>
      <c r="G33" s="2"/>
    </row>
  </sheetData>
  <conditionalFormatting sqref="G5">
    <cfRule type="cellIs" dxfId="74" priority="15" operator="lessThan">
      <formula>$H$9</formula>
    </cfRule>
  </conditionalFormatting>
  <conditionalFormatting sqref="G7">
    <cfRule type="cellIs" dxfId="73" priority="12" operator="greaterThan">
      <formula>$H$11</formula>
    </cfRule>
    <cfRule type="cellIs" dxfId="72" priority="13" operator="greaterThan">
      <formula>"6.68%$H$10"</formula>
    </cfRule>
    <cfRule type="cellIs" dxfId="71" priority="14" operator="lessThan">
      <formula>$H$11</formula>
    </cfRule>
  </conditionalFormatting>
  <conditionalFormatting sqref="G15">
    <cfRule type="cellIs" dxfId="70" priority="11" operator="lessThan">
      <formula>$H$19</formula>
    </cfRule>
  </conditionalFormatting>
  <conditionalFormatting sqref="G21">
    <cfRule type="cellIs" dxfId="69" priority="19" operator="lessThan">
      <formula>$H$25</formula>
    </cfRule>
  </conditionalFormatting>
  <conditionalFormatting sqref="G23">
    <cfRule type="cellIs" dxfId="68" priority="10" operator="greaterThan">
      <formula>$H$27</formula>
    </cfRule>
    <cfRule type="cellIs" dxfId="67" priority="16" operator="lessThan">
      <formula>$H$27</formula>
    </cfRule>
  </conditionalFormatting>
  <conditionalFormatting sqref="G27">
    <cfRule type="cellIs" dxfId="66" priority="20" operator="greaterThan">
      <formula>G28</formula>
    </cfRule>
    <cfRule type="cellIs" dxfId="65" priority="21" operator="lessThan">
      <formula>G28</formula>
    </cfRule>
  </conditionalFormatting>
  <conditionalFormatting sqref="G29">
    <cfRule type="cellIs" dxfId="64" priority="18" operator="lessThan">
      <formula>$H$33</formula>
    </cfRule>
  </conditionalFormatting>
  <conditionalFormatting sqref="G31">
    <cfRule type="cellIs" dxfId="63" priority="17" operator="greaterThan">
      <formula>$H$35</formula>
    </cfRule>
  </conditionalFormatting>
  <conditionalFormatting sqref="G31:G32">
    <cfRule type="cellIs" dxfId="62" priority="9" operator="greaterThan">
      <formula>$H$35</formula>
    </cfRule>
  </conditionalFormatting>
  <conditionalFormatting sqref="G3">
    <cfRule type="cellIs" dxfId="61" priority="6" operator="greaterThan">
      <formula>$H$11</formula>
    </cfRule>
    <cfRule type="cellIs" dxfId="60" priority="7" operator="greaterThan">
      <formula>"6.68%$H$10"</formula>
    </cfRule>
    <cfRule type="cellIs" dxfId="59" priority="8" operator="lessThan">
      <formula>$H$11</formula>
    </cfRule>
  </conditionalFormatting>
  <conditionalFormatting sqref="G11">
    <cfRule type="cellIs" dxfId="58" priority="5" operator="greaterThan">
      <formula>$H$17</formula>
    </cfRule>
  </conditionalFormatting>
  <conditionalFormatting sqref="G13">
    <cfRule type="cellIs" dxfId="57" priority="3" operator="lessThan">
      <formula>$H$15</formula>
    </cfRule>
    <cfRule type="cellIs" dxfId="56" priority="4" operator="greaterThan">
      <formula>$H$15</formula>
    </cfRule>
  </conditionalFormatting>
  <conditionalFormatting sqref="G20">
    <cfRule type="cellIs" dxfId="55" priority="2" operator="greaterThan">
      <formula>$H$17</formula>
    </cfRule>
  </conditionalFormatting>
  <conditionalFormatting sqref="G19">
    <cfRule type="cellIs" dxfId="54" priority="1" operator="greaterThan">
      <formula>$H$17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7BA0-16D0-457B-A8C8-2DDEA5266D41}">
  <dimension ref="A1:I42"/>
  <sheetViews>
    <sheetView workbookViewId="0">
      <selection sqref="A1:I1"/>
    </sheetView>
  </sheetViews>
  <sheetFormatPr defaultRowHeight="15.75" x14ac:dyDescent="0.25"/>
  <cols>
    <col min="1" max="1" width="21.75" customWidth="1"/>
    <col min="2" max="2" width="9.875" customWidth="1"/>
    <col min="3" max="3" width="18.5" customWidth="1"/>
  </cols>
  <sheetData>
    <row r="1" spans="1:9" ht="18" customHeight="1" x14ac:dyDescent="0.25">
      <c r="A1" s="53" t="s">
        <v>82</v>
      </c>
      <c r="B1" s="53"/>
      <c r="C1" s="53"/>
      <c r="D1" s="53"/>
      <c r="E1" s="53"/>
      <c r="F1" s="53"/>
      <c r="G1" s="53"/>
      <c r="H1" s="53"/>
      <c r="I1" s="53"/>
    </row>
    <row r="2" spans="1:9" x14ac:dyDescent="0.25">
      <c r="A2" s="54" t="s">
        <v>83</v>
      </c>
      <c r="B2" s="54"/>
      <c r="C2" s="54"/>
      <c r="D2" s="54"/>
      <c r="E2" s="54"/>
      <c r="F2" s="54"/>
      <c r="G2" s="54"/>
      <c r="H2" s="54"/>
      <c r="I2" s="54"/>
    </row>
    <row r="3" spans="1:9" ht="24.75" x14ac:dyDescent="0.25">
      <c r="A3" s="55" t="s">
        <v>44</v>
      </c>
      <c r="B3" s="56" t="s">
        <v>55</v>
      </c>
      <c r="C3" s="56" t="s">
        <v>56</v>
      </c>
      <c r="D3" s="57" t="s">
        <v>37</v>
      </c>
      <c r="E3" s="55" t="s">
        <v>44</v>
      </c>
      <c r="F3" s="56" t="s">
        <v>57</v>
      </c>
      <c r="G3" s="56" t="s">
        <v>58</v>
      </c>
      <c r="H3" s="56" t="s">
        <v>56</v>
      </c>
      <c r="I3" s="56" t="s">
        <v>59</v>
      </c>
    </row>
    <row r="4" spans="1:9" x14ac:dyDescent="0.25">
      <c r="A4" s="58" t="s">
        <v>60</v>
      </c>
      <c r="B4" s="59"/>
      <c r="C4" s="60"/>
      <c r="D4" s="61" t="s">
        <v>37</v>
      </c>
      <c r="E4" s="62" t="s">
        <v>67</v>
      </c>
      <c r="F4" s="62"/>
      <c r="G4" s="62"/>
      <c r="H4" s="62"/>
      <c r="I4" s="63"/>
    </row>
    <row r="5" spans="1:9" ht="24.75" x14ac:dyDescent="0.25">
      <c r="A5" s="64" t="s">
        <v>21</v>
      </c>
      <c r="B5" s="66">
        <v>42400000</v>
      </c>
      <c r="C5" s="67">
        <v>420000000</v>
      </c>
      <c r="D5" s="57" t="s">
        <v>37</v>
      </c>
      <c r="E5" s="64" t="s">
        <v>5</v>
      </c>
      <c r="F5" s="68">
        <v>0.26019999999999999</v>
      </c>
      <c r="G5" s="69">
        <v>0.22559999999999999</v>
      </c>
      <c r="H5" s="70">
        <v>0.17799999999999999</v>
      </c>
      <c r="I5" s="70">
        <v>0.16089999999999999</v>
      </c>
    </row>
    <row r="6" spans="1:9" ht="24.75" x14ac:dyDescent="0.25">
      <c r="A6" s="71" t="s">
        <v>19</v>
      </c>
      <c r="B6" s="91">
        <v>1300000</v>
      </c>
      <c r="C6" s="73">
        <v>4500000</v>
      </c>
      <c r="D6" s="57" t="s">
        <v>37</v>
      </c>
      <c r="E6" s="71" t="s">
        <v>62</v>
      </c>
      <c r="F6" s="74">
        <v>3.6999999999999998E-2</v>
      </c>
      <c r="G6" s="75">
        <v>3.5000000000000003E-2</v>
      </c>
      <c r="H6" s="76">
        <v>2.1999999999999999E-2</v>
      </c>
      <c r="I6" s="76">
        <v>2.8000000000000001E-2</v>
      </c>
    </row>
    <row r="7" spans="1:9" ht="24.75" x14ac:dyDescent="0.25">
      <c r="A7" s="64" t="s">
        <v>45</v>
      </c>
      <c r="B7" s="66">
        <v>421000</v>
      </c>
      <c r="C7" s="67">
        <v>2700000</v>
      </c>
      <c r="D7" s="57" t="s">
        <v>37</v>
      </c>
      <c r="E7" s="64" t="s">
        <v>63</v>
      </c>
      <c r="F7" s="77">
        <v>42.96</v>
      </c>
      <c r="G7" s="78">
        <v>39.5</v>
      </c>
      <c r="H7" s="79">
        <v>33</v>
      </c>
      <c r="I7" s="79">
        <v>29.13</v>
      </c>
    </row>
    <row r="8" spans="1:9" ht="24.75" x14ac:dyDescent="0.25">
      <c r="A8" s="71" t="s">
        <v>5</v>
      </c>
      <c r="B8" s="74">
        <v>0.26</v>
      </c>
      <c r="C8" s="76">
        <v>0.17799999999999999</v>
      </c>
      <c r="D8" s="57" t="s">
        <v>37</v>
      </c>
      <c r="E8" s="71" t="s">
        <v>64</v>
      </c>
      <c r="F8" s="80">
        <v>403</v>
      </c>
      <c r="G8" s="81">
        <v>380</v>
      </c>
      <c r="H8" s="82">
        <v>230</v>
      </c>
      <c r="I8" s="82">
        <v>215</v>
      </c>
    </row>
    <row r="9" spans="1:9" x14ac:dyDescent="0.25">
      <c r="A9" s="64" t="s">
        <v>15</v>
      </c>
      <c r="B9" s="77">
        <v>42.96</v>
      </c>
      <c r="C9" s="79">
        <v>33</v>
      </c>
      <c r="D9" s="57" t="s">
        <v>37</v>
      </c>
      <c r="E9" s="64" t="s">
        <v>65</v>
      </c>
      <c r="F9" s="68">
        <v>6.3399999999999998E-2</v>
      </c>
      <c r="G9" s="69">
        <v>6.3700000000000007E-2</v>
      </c>
      <c r="H9" s="70">
        <v>8.4000000000000005E-2</v>
      </c>
      <c r="I9" s="70">
        <v>7.5999999999999998E-2</v>
      </c>
    </row>
    <row r="10" spans="1:9" x14ac:dyDescent="0.25">
      <c r="A10" s="71" t="s">
        <v>16</v>
      </c>
      <c r="B10" s="80">
        <v>403</v>
      </c>
      <c r="C10" s="82">
        <v>230</v>
      </c>
      <c r="D10" s="57" t="s">
        <v>37</v>
      </c>
      <c r="E10" s="57" t="s">
        <v>37</v>
      </c>
      <c r="F10" s="57" t="s">
        <v>37</v>
      </c>
      <c r="G10" s="57" t="s">
        <v>37</v>
      </c>
      <c r="H10" s="57" t="s">
        <v>37</v>
      </c>
      <c r="I10" s="57" t="s">
        <v>37</v>
      </c>
    </row>
    <row r="11" spans="1:9" x14ac:dyDescent="0.25">
      <c r="A11" s="64" t="s">
        <v>0</v>
      </c>
      <c r="B11" s="68">
        <v>6.3399999999999998E-2</v>
      </c>
      <c r="C11" s="70">
        <v>8.4000000000000005E-2</v>
      </c>
      <c r="D11" s="57" t="s">
        <v>37</v>
      </c>
      <c r="E11" s="57" t="s">
        <v>37</v>
      </c>
      <c r="F11" s="57" t="s">
        <v>37</v>
      </c>
      <c r="G11" s="57" t="s">
        <v>37</v>
      </c>
      <c r="H11" s="57" t="s">
        <v>37</v>
      </c>
      <c r="I11" s="57" t="s">
        <v>37</v>
      </c>
    </row>
    <row r="12" spans="1:9" x14ac:dyDescent="0.25">
      <c r="A12" s="58" t="s">
        <v>66</v>
      </c>
      <c r="B12" s="59"/>
      <c r="C12" s="60"/>
      <c r="D12" s="61" t="s">
        <v>37</v>
      </c>
      <c r="E12" s="62" t="s">
        <v>67</v>
      </c>
      <c r="F12" s="62"/>
      <c r="G12" s="62"/>
      <c r="H12" s="62"/>
      <c r="I12" s="63"/>
    </row>
    <row r="13" spans="1:9" ht="24.75" x14ac:dyDescent="0.25">
      <c r="A13" s="64" t="s">
        <v>21</v>
      </c>
      <c r="B13" s="66">
        <v>1900000</v>
      </c>
      <c r="C13" s="67">
        <v>471000000</v>
      </c>
      <c r="D13" s="57" t="s">
        <v>37</v>
      </c>
      <c r="E13" s="64" t="s">
        <v>5</v>
      </c>
      <c r="F13" s="68">
        <v>0.11890000000000001</v>
      </c>
      <c r="G13" s="69">
        <v>6.7599999999999993E-2</v>
      </c>
      <c r="H13" s="70">
        <v>5.0999999999999997E-2</v>
      </c>
      <c r="I13" s="70">
        <v>4.8500000000000001E-2</v>
      </c>
    </row>
    <row r="14" spans="1:9" ht="24.75" x14ac:dyDescent="0.25">
      <c r="A14" s="71" t="s">
        <v>19</v>
      </c>
      <c r="B14" s="91">
        <v>7700</v>
      </c>
      <c r="C14" s="73">
        <v>7000000</v>
      </c>
      <c r="D14" s="57" t="s">
        <v>37</v>
      </c>
      <c r="E14" s="71" t="s">
        <v>62</v>
      </c>
      <c r="F14" s="74">
        <v>3.3000000000000002E-2</v>
      </c>
      <c r="G14" s="75">
        <v>3.3000000000000002E-2</v>
      </c>
      <c r="H14" s="76">
        <v>2.8000000000000001E-2</v>
      </c>
      <c r="I14" s="76">
        <v>3.7999999999999999E-2</v>
      </c>
    </row>
    <row r="15" spans="1:9" ht="24.75" x14ac:dyDescent="0.25">
      <c r="A15" s="64" t="s">
        <v>45</v>
      </c>
      <c r="B15" s="66">
        <v>-38446</v>
      </c>
      <c r="C15" s="67">
        <v>3100000</v>
      </c>
      <c r="D15" s="57" t="s">
        <v>37</v>
      </c>
      <c r="E15" s="64" t="s">
        <v>63</v>
      </c>
      <c r="F15" s="77">
        <v>36.700000000000003</v>
      </c>
      <c r="G15" s="78">
        <v>34</v>
      </c>
      <c r="H15" s="79">
        <v>25.32</v>
      </c>
      <c r="I15" s="79">
        <v>21.17</v>
      </c>
    </row>
    <row r="16" spans="1:9" ht="24.75" x14ac:dyDescent="0.25">
      <c r="A16" s="71" t="s">
        <v>5</v>
      </c>
      <c r="B16" s="74">
        <v>0.11899999999999999</v>
      </c>
      <c r="C16" s="76">
        <v>5.0999999999999997E-2</v>
      </c>
      <c r="D16" s="57" t="s">
        <v>37</v>
      </c>
      <c r="E16" s="71" t="s">
        <v>64</v>
      </c>
      <c r="F16" s="80">
        <v>388</v>
      </c>
      <c r="G16" s="81">
        <v>360</v>
      </c>
      <c r="H16" s="82">
        <v>274</v>
      </c>
      <c r="I16" s="82">
        <v>238</v>
      </c>
    </row>
    <row r="17" spans="1:9" x14ac:dyDescent="0.25">
      <c r="A17" s="64" t="s">
        <v>15</v>
      </c>
      <c r="B17" s="77">
        <v>36.700000000000003</v>
      </c>
      <c r="C17" s="79">
        <v>25.32</v>
      </c>
      <c r="D17" s="57" t="s">
        <v>37</v>
      </c>
      <c r="E17" s="64" t="s">
        <v>65</v>
      </c>
      <c r="F17" s="68">
        <v>6.6500000000000004E-2</v>
      </c>
      <c r="G17" s="69">
        <v>6.5100000000000005E-2</v>
      </c>
      <c r="H17" s="70">
        <v>6.9099999999999995E-2</v>
      </c>
      <c r="I17" s="70">
        <v>6.7699999999999996E-2</v>
      </c>
    </row>
    <row r="18" spans="1:9" x14ac:dyDescent="0.25">
      <c r="A18" s="71" t="s">
        <v>16</v>
      </c>
      <c r="B18" s="80">
        <v>388</v>
      </c>
      <c r="C18" s="82">
        <v>274</v>
      </c>
      <c r="D18" s="57" t="s">
        <v>37</v>
      </c>
      <c r="E18" s="57" t="s">
        <v>37</v>
      </c>
      <c r="F18" s="57" t="s">
        <v>37</v>
      </c>
      <c r="G18" s="57" t="s">
        <v>37</v>
      </c>
      <c r="H18" s="57" t="s">
        <v>37</v>
      </c>
      <c r="I18" s="57" t="s">
        <v>37</v>
      </c>
    </row>
    <row r="19" spans="1:9" x14ac:dyDescent="0.25">
      <c r="A19" s="64" t="s">
        <v>0</v>
      </c>
      <c r="B19" s="68">
        <v>6.6500000000000004E-2</v>
      </c>
      <c r="C19" s="70">
        <v>6.9000000000000006E-2</v>
      </c>
      <c r="D19" s="57" t="s">
        <v>37</v>
      </c>
      <c r="E19" s="57" t="s">
        <v>37</v>
      </c>
      <c r="F19" s="57" t="s">
        <v>37</v>
      </c>
      <c r="G19" s="57" t="s">
        <v>37</v>
      </c>
      <c r="H19" s="57" t="s">
        <v>37</v>
      </c>
      <c r="I19" s="57" t="s">
        <v>37</v>
      </c>
    </row>
    <row r="20" spans="1:9" ht="24.75" customHeight="1" x14ac:dyDescent="0.25">
      <c r="A20" s="58" t="s">
        <v>68</v>
      </c>
      <c r="B20" s="59"/>
      <c r="C20" s="60"/>
      <c r="D20" s="61" t="s">
        <v>37</v>
      </c>
      <c r="E20" s="62" t="s">
        <v>75</v>
      </c>
      <c r="F20" s="62"/>
      <c r="G20" s="62"/>
      <c r="H20" s="62"/>
      <c r="I20" s="63"/>
    </row>
    <row r="21" spans="1:9" ht="24.75" x14ac:dyDescent="0.25">
      <c r="A21" s="64" t="s">
        <v>69</v>
      </c>
      <c r="B21" s="66">
        <v>7963</v>
      </c>
      <c r="C21" s="67">
        <v>144533</v>
      </c>
      <c r="D21" s="57" t="s">
        <v>37</v>
      </c>
      <c r="E21" s="64" t="s">
        <v>70</v>
      </c>
      <c r="F21" s="68">
        <v>0.5867</v>
      </c>
      <c r="G21" s="69">
        <v>0.57450000000000001</v>
      </c>
      <c r="H21" s="70">
        <v>0.64710000000000001</v>
      </c>
      <c r="I21" s="70">
        <v>0.64059999999999995</v>
      </c>
    </row>
    <row r="22" spans="1:9" x14ac:dyDescent="0.25">
      <c r="A22" s="71" t="s">
        <v>46</v>
      </c>
      <c r="B22" s="72">
        <v>382</v>
      </c>
      <c r="C22" s="73">
        <v>5312</v>
      </c>
      <c r="D22" s="57" t="s">
        <v>37</v>
      </c>
      <c r="E22" s="71" t="s">
        <v>47</v>
      </c>
      <c r="F22" s="92">
        <v>250.69</v>
      </c>
      <c r="G22" s="93">
        <v>207.68</v>
      </c>
      <c r="H22" s="84">
        <v>128.94</v>
      </c>
      <c r="I22" s="84">
        <v>110.32</v>
      </c>
    </row>
    <row r="23" spans="1:9" x14ac:dyDescent="0.25">
      <c r="A23" s="64" t="s">
        <v>72</v>
      </c>
      <c r="B23" s="68">
        <v>0.5867</v>
      </c>
      <c r="C23" s="70">
        <v>0.64700000000000002</v>
      </c>
      <c r="D23" s="57" t="s">
        <v>37</v>
      </c>
      <c r="E23" s="64" t="s">
        <v>48</v>
      </c>
      <c r="F23" s="77">
        <v>147.09</v>
      </c>
      <c r="G23" s="78">
        <v>120.34</v>
      </c>
      <c r="H23" s="79">
        <v>83.44</v>
      </c>
      <c r="I23" s="79">
        <v>71.23</v>
      </c>
    </row>
    <row r="24" spans="1:9" ht="24.75" x14ac:dyDescent="0.25">
      <c r="A24" s="71" t="s">
        <v>33</v>
      </c>
      <c r="B24" s="92">
        <v>250.69</v>
      </c>
      <c r="C24" s="82">
        <v>129</v>
      </c>
      <c r="D24" s="57" t="s">
        <v>37</v>
      </c>
      <c r="E24" s="71" t="s">
        <v>73</v>
      </c>
      <c r="F24" s="80">
        <v>253000</v>
      </c>
      <c r="G24" s="81">
        <v>230000</v>
      </c>
      <c r="H24" s="82">
        <v>136000</v>
      </c>
      <c r="I24" s="82">
        <v>125000</v>
      </c>
    </row>
    <row r="25" spans="1:9" x14ac:dyDescent="0.25">
      <c r="A25" s="64" t="s">
        <v>35</v>
      </c>
      <c r="B25" s="77">
        <v>147.09</v>
      </c>
      <c r="C25" s="85">
        <v>83</v>
      </c>
      <c r="D25" s="57" t="s">
        <v>37</v>
      </c>
      <c r="E25" s="64" t="s">
        <v>65</v>
      </c>
      <c r="F25" s="68">
        <v>7.9299999999999995E-2</v>
      </c>
      <c r="G25" s="69">
        <v>7.6700000000000004E-2</v>
      </c>
      <c r="H25" s="70">
        <v>9.2700000000000005E-2</v>
      </c>
      <c r="I25" s="70">
        <v>8.6800000000000002E-2</v>
      </c>
    </row>
    <row r="26" spans="1:9" x14ac:dyDescent="0.25">
      <c r="A26" s="71" t="s">
        <v>32</v>
      </c>
      <c r="B26" s="80">
        <v>253000</v>
      </c>
      <c r="C26" s="82">
        <v>140000</v>
      </c>
      <c r="D26" s="57" t="s">
        <v>37</v>
      </c>
      <c r="E26" s="57" t="s">
        <v>37</v>
      </c>
      <c r="F26" s="57" t="s">
        <v>37</v>
      </c>
      <c r="G26" s="57" t="s">
        <v>37</v>
      </c>
      <c r="H26" s="57" t="s">
        <v>37</v>
      </c>
      <c r="I26" s="57" t="s">
        <v>37</v>
      </c>
    </row>
    <row r="27" spans="1:9" x14ac:dyDescent="0.25">
      <c r="A27" s="64" t="s">
        <v>0</v>
      </c>
      <c r="B27" s="68">
        <v>7.9299999999999995E-2</v>
      </c>
      <c r="C27" s="70">
        <v>9.2999999999999999E-2</v>
      </c>
      <c r="D27" s="57" t="s">
        <v>37</v>
      </c>
      <c r="E27" s="57" t="s">
        <v>37</v>
      </c>
      <c r="F27" s="57" t="s">
        <v>37</v>
      </c>
      <c r="G27" s="57" t="s">
        <v>37</v>
      </c>
      <c r="H27" s="57" t="s">
        <v>37</v>
      </c>
      <c r="I27" s="57" t="s">
        <v>37</v>
      </c>
    </row>
    <row r="28" spans="1:9" ht="24.75" customHeight="1" x14ac:dyDescent="0.25">
      <c r="A28" s="58" t="s">
        <v>74</v>
      </c>
      <c r="B28" s="59"/>
      <c r="C28" s="60"/>
      <c r="D28" s="61" t="s">
        <v>37</v>
      </c>
      <c r="E28" s="62" t="s">
        <v>75</v>
      </c>
      <c r="F28" s="62"/>
      <c r="G28" s="62"/>
      <c r="H28" s="62"/>
      <c r="I28" s="63"/>
    </row>
    <row r="29" spans="1:9" ht="24.75" x14ac:dyDescent="0.25">
      <c r="A29" s="64" t="s">
        <v>76</v>
      </c>
      <c r="B29" s="66">
        <v>25430</v>
      </c>
      <c r="C29" s="67">
        <v>1147860</v>
      </c>
      <c r="D29" s="57" t="s">
        <v>37</v>
      </c>
      <c r="E29" s="64" t="s">
        <v>70</v>
      </c>
      <c r="F29" s="68">
        <v>0.90369999999999995</v>
      </c>
      <c r="G29" s="69">
        <v>0.89129999999999998</v>
      </c>
      <c r="H29" s="70">
        <v>0.87909999999999999</v>
      </c>
      <c r="I29" s="70">
        <v>0.91139999999999999</v>
      </c>
    </row>
    <row r="30" spans="1:9" ht="24.75" x14ac:dyDescent="0.25">
      <c r="A30" s="71" t="s">
        <v>9</v>
      </c>
      <c r="B30" s="72">
        <v>895</v>
      </c>
      <c r="C30" s="73">
        <v>32717</v>
      </c>
      <c r="D30" s="57" t="s">
        <v>37</v>
      </c>
      <c r="E30" s="71" t="s">
        <v>62</v>
      </c>
      <c r="F30" s="94">
        <v>0</v>
      </c>
      <c r="G30" s="75">
        <v>1.7999999999999999E-2</v>
      </c>
      <c r="H30" s="76">
        <v>-1.7000000000000001E-2</v>
      </c>
      <c r="I30" s="76">
        <v>2.8000000000000001E-2</v>
      </c>
    </row>
    <row r="31" spans="1:9" x14ac:dyDescent="0.25">
      <c r="A31" s="64" t="s">
        <v>17</v>
      </c>
      <c r="B31" s="65">
        <v>763</v>
      </c>
      <c r="C31" s="67">
        <v>25587</v>
      </c>
      <c r="D31" s="57" t="s">
        <v>37</v>
      </c>
      <c r="E31" s="64" t="s">
        <v>77</v>
      </c>
      <c r="F31" s="86">
        <v>2624</v>
      </c>
      <c r="G31" s="87">
        <v>2432</v>
      </c>
      <c r="H31" s="85">
        <v>1539</v>
      </c>
      <c r="I31" s="85">
        <v>1416</v>
      </c>
    </row>
    <row r="32" spans="1:9" ht="24.75" x14ac:dyDescent="0.25">
      <c r="A32" s="71" t="s">
        <v>5</v>
      </c>
      <c r="B32" s="74">
        <v>9.6299999999999997E-2</v>
      </c>
      <c r="C32" s="76">
        <v>0.121</v>
      </c>
      <c r="D32" s="57" t="s">
        <v>37</v>
      </c>
      <c r="E32" s="71" t="s">
        <v>78</v>
      </c>
      <c r="F32" s="80">
        <v>336000</v>
      </c>
      <c r="G32" s="81">
        <v>295000</v>
      </c>
      <c r="H32" s="82">
        <v>176671</v>
      </c>
      <c r="I32" s="82">
        <v>163599</v>
      </c>
    </row>
    <row r="33" spans="1:9" x14ac:dyDescent="0.25">
      <c r="A33" s="64" t="s">
        <v>3</v>
      </c>
      <c r="B33" s="86">
        <v>2624</v>
      </c>
      <c r="C33" s="85">
        <v>1539</v>
      </c>
      <c r="D33" s="57" t="s">
        <v>37</v>
      </c>
      <c r="E33" s="64" t="s">
        <v>65</v>
      </c>
      <c r="F33" s="68">
        <v>5.8900000000000001E-2</v>
      </c>
      <c r="G33" s="69">
        <v>5.2999999999999999E-2</v>
      </c>
      <c r="H33" s="70">
        <v>5.8799999999999998E-2</v>
      </c>
      <c r="I33" s="70">
        <v>5.4699999999999999E-2</v>
      </c>
    </row>
    <row r="34" spans="1:9" x14ac:dyDescent="0.25">
      <c r="A34" s="71" t="s">
        <v>2</v>
      </c>
      <c r="B34" s="80">
        <v>336000</v>
      </c>
      <c r="C34" s="82">
        <v>177000</v>
      </c>
      <c r="D34" s="57" t="s">
        <v>37</v>
      </c>
      <c r="E34" s="57" t="s">
        <v>37</v>
      </c>
      <c r="F34" s="57" t="s">
        <v>37</v>
      </c>
      <c r="G34" s="57" t="s">
        <v>37</v>
      </c>
      <c r="H34" s="57" t="s">
        <v>37</v>
      </c>
      <c r="I34" s="57" t="s">
        <v>37</v>
      </c>
    </row>
    <row r="35" spans="1:9" x14ac:dyDescent="0.25">
      <c r="A35" s="64" t="s">
        <v>0</v>
      </c>
      <c r="B35" s="68">
        <v>5.8900000000000001E-2</v>
      </c>
      <c r="C35" s="70">
        <v>5.8999999999999997E-2</v>
      </c>
      <c r="D35" s="57" t="s">
        <v>37</v>
      </c>
      <c r="E35" s="57" t="s">
        <v>37</v>
      </c>
      <c r="F35" s="57" t="s">
        <v>37</v>
      </c>
      <c r="G35" s="57" t="s">
        <v>37</v>
      </c>
      <c r="H35" s="57" t="s">
        <v>37</v>
      </c>
      <c r="I35" s="57" t="s">
        <v>37</v>
      </c>
    </row>
    <row r="36" spans="1:9" ht="24.75" customHeight="1" x14ac:dyDescent="0.25">
      <c r="A36" s="58" t="s">
        <v>79</v>
      </c>
      <c r="B36" s="59"/>
      <c r="C36" s="60"/>
      <c r="D36" s="61" t="s">
        <v>37</v>
      </c>
      <c r="E36" s="62" t="s">
        <v>67</v>
      </c>
      <c r="F36" s="62"/>
      <c r="G36" s="62"/>
      <c r="H36" s="62"/>
      <c r="I36" s="63"/>
    </row>
    <row r="37" spans="1:9" x14ac:dyDescent="0.25">
      <c r="A37" s="64" t="s">
        <v>49</v>
      </c>
      <c r="B37" s="86">
        <v>95700</v>
      </c>
      <c r="C37" s="85">
        <v>83900</v>
      </c>
      <c r="D37" s="88" t="s">
        <v>37</v>
      </c>
      <c r="E37" s="89" t="s">
        <v>37</v>
      </c>
      <c r="F37" s="89" t="s">
        <v>37</v>
      </c>
      <c r="G37" s="89" t="s">
        <v>37</v>
      </c>
      <c r="H37" s="89" t="s">
        <v>37</v>
      </c>
      <c r="I37" s="89" t="s">
        <v>37</v>
      </c>
    </row>
    <row r="38" spans="1:9" x14ac:dyDescent="0.25">
      <c r="A38" s="71" t="s">
        <v>80</v>
      </c>
      <c r="B38" s="74">
        <v>5.1999999999999998E-2</v>
      </c>
      <c r="C38" s="76">
        <v>0.06</v>
      </c>
      <c r="D38" s="88" t="s">
        <v>37</v>
      </c>
      <c r="E38" s="88" t="s">
        <v>37</v>
      </c>
      <c r="F38" s="88" t="s">
        <v>37</v>
      </c>
      <c r="G38" s="88" t="s">
        <v>37</v>
      </c>
      <c r="H38" s="88" t="s">
        <v>37</v>
      </c>
      <c r="I38" s="88" t="s">
        <v>37</v>
      </c>
    </row>
    <row r="39" spans="1:9" x14ac:dyDescent="0.25">
      <c r="A39" s="41"/>
      <c r="B39" s="41"/>
      <c r="C39" s="41"/>
      <c r="D39" s="41"/>
      <c r="E39" s="41"/>
      <c r="F39" s="41"/>
      <c r="G39" s="41"/>
      <c r="H39" s="41"/>
      <c r="I39" s="41"/>
    </row>
    <row r="40" spans="1:9" ht="36.75" customHeight="1" x14ac:dyDescent="0.25">
      <c r="A40" s="90" t="s">
        <v>84</v>
      </c>
      <c r="B40" s="90"/>
      <c r="C40" s="90"/>
      <c r="D40" s="90"/>
      <c r="E40" s="90"/>
      <c r="F40" s="90"/>
      <c r="G40" s="90"/>
      <c r="H40" s="90"/>
      <c r="I40" s="90"/>
    </row>
    <row r="41" spans="1:9" x14ac:dyDescent="0.25">
      <c r="A41" s="37"/>
      <c r="B41" s="38"/>
      <c r="C41" s="40"/>
      <c r="D41" s="40"/>
      <c r="E41" s="40"/>
    </row>
    <row r="42" spans="1:9" x14ac:dyDescent="0.25">
      <c r="A42" s="39"/>
      <c r="B42" s="42"/>
      <c r="C42" s="42"/>
      <c r="D42" s="42"/>
      <c r="E42" s="43"/>
    </row>
  </sheetData>
  <mergeCells count="14">
    <mergeCell ref="E36:I36"/>
    <mergeCell ref="A40:I40"/>
    <mergeCell ref="B42:E42"/>
    <mergeCell ref="A4:C4"/>
    <mergeCell ref="A12:C12"/>
    <mergeCell ref="A20:C20"/>
    <mergeCell ref="A28:C28"/>
    <mergeCell ref="A36:C36"/>
    <mergeCell ref="E4:I4"/>
    <mergeCell ref="E12:I12"/>
    <mergeCell ref="A1:I1"/>
    <mergeCell ref="A2:I2"/>
    <mergeCell ref="E20:I20"/>
    <mergeCell ref="E28:I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F482C-6E72-43A2-8266-55F67A2E07BA}">
  <dimension ref="A1:I44"/>
  <sheetViews>
    <sheetView topLeftCell="A17" workbookViewId="0">
      <selection sqref="A1:I1"/>
    </sheetView>
  </sheetViews>
  <sheetFormatPr defaultRowHeight="15.75" x14ac:dyDescent="0.25"/>
  <cols>
    <col min="1" max="1" width="16.875" customWidth="1"/>
    <col min="2" max="2" width="12.125" customWidth="1"/>
    <col min="3" max="3" width="14.625" customWidth="1"/>
    <col min="5" max="5" width="12.875" customWidth="1"/>
  </cols>
  <sheetData>
    <row r="1" spans="1:9" ht="18" customHeight="1" x14ac:dyDescent="0.25">
      <c r="A1" s="53" t="s">
        <v>53</v>
      </c>
      <c r="B1" s="53"/>
      <c r="C1" s="53"/>
      <c r="D1" s="53"/>
      <c r="E1" s="53"/>
      <c r="F1" s="53"/>
      <c r="G1" s="53"/>
      <c r="H1" s="53"/>
      <c r="I1" s="53"/>
    </row>
    <row r="2" spans="1:9" x14ac:dyDescent="0.25">
      <c r="A2" s="54" t="s">
        <v>54</v>
      </c>
      <c r="B2" s="54"/>
      <c r="C2" s="54"/>
      <c r="D2" s="54"/>
      <c r="E2" s="54"/>
      <c r="F2" s="54"/>
      <c r="G2" s="54"/>
      <c r="H2" s="54"/>
      <c r="I2" s="54"/>
    </row>
    <row r="3" spans="1:9" ht="24.75" x14ac:dyDescent="0.25">
      <c r="A3" s="55" t="s">
        <v>44</v>
      </c>
      <c r="B3" s="56" t="s">
        <v>55</v>
      </c>
      <c r="C3" s="56" t="s">
        <v>56</v>
      </c>
      <c r="D3" s="57" t="s">
        <v>37</v>
      </c>
      <c r="E3" s="55" t="s">
        <v>44</v>
      </c>
      <c r="F3" s="56" t="s">
        <v>57</v>
      </c>
      <c r="G3" s="56" t="s">
        <v>58</v>
      </c>
      <c r="H3" s="56" t="s">
        <v>56</v>
      </c>
      <c r="I3" s="56" t="s">
        <v>59</v>
      </c>
    </row>
    <row r="4" spans="1:9" x14ac:dyDescent="0.25">
      <c r="A4" s="58" t="s">
        <v>60</v>
      </c>
      <c r="B4" s="59"/>
      <c r="C4" s="60"/>
      <c r="D4" s="61" t="s">
        <v>37</v>
      </c>
      <c r="E4" s="62" t="s">
        <v>61</v>
      </c>
      <c r="F4" s="62"/>
      <c r="G4" s="62"/>
      <c r="H4" s="62"/>
      <c r="I4" s="63"/>
    </row>
    <row r="5" spans="1:9" x14ac:dyDescent="0.25">
      <c r="A5" s="64" t="s">
        <v>21</v>
      </c>
      <c r="B5" s="66">
        <v>1500000</v>
      </c>
      <c r="C5" s="67">
        <v>420000000</v>
      </c>
      <c r="D5" s="57" t="s">
        <v>37</v>
      </c>
      <c r="E5" s="64" t="s">
        <v>5</v>
      </c>
      <c r="F5" s="68">
        <v>0.1396</v>
      </c>
      <c r="G5" s="69">
        <v>0.13070000000000001</v>
      </c>
      <c r="H5" s="70">
        <v>0.17799999999999999</v>
      </c>
      <c r="I5" s="70">
        <v>0.16089999999999999</v>
      </c>
    </row>
    <row r="6" spans="1:9" x14ac:dyDescent="0.25">
      <c r="A6" s="71" t="s">
        <v>19</v>
      </c>
      <c r="B6" s="72">
        <v>0</v>
      </c>
      <c r="C6" s="73">
        <v>4500000</v>
      </c>
      <c r="D6" s="57" t="s">
        <v>37</v>
      </c>
      <c r="E6" s="71" t="s">
        <v>62</v>
      </c>
      <c r="F6" s="74">
        <v>1.6E-2</v>
      </c>
      <c r="G6" s="75">
        <v>2.3E-2</v>
      </c>
      <c r="H6" s="76">
        <v>2.1999999999999999E-2</v>
      </c>
      <c r="I6" s="76">
        <v>2.8000000000000001E-2</v>
      </c>
    </row>
    <row r="7" spans="1:9" ht="24.75" x14ac:dyDescent="0.25">
      <c r="A7" s="64" t="s">
        <v>45</v>
      </c>
      <c r="B7" s="66">
        <v>27071</v>
      </c>
      <c r="C7" s="67">
        <v>2700000</v>
      </c>
      <c r="D7" s="57" t="s">
        <v>37</v>
      </c>
      <c r="E7" s="64" t="s">
        <v>63</v>
      </c>
      <c r="F7" s="77">
        <v>24.65</v>
      </c>
      <c r="G7" s="78">
        <v>23</v>
      </c>
      <c r="H7" s="79">
        <v>33</v>
      </c>
      <c r="I7" s="79">
        <v>29.13</v>
      </c>
    </row>
    <row r="8" spans="1:9" x14ac:dyDescent="0.25">
      <c r="A8" s="71" t="s">
        <v>5</v>
      </c>
      <c r="B8" s="74">
        <v>0.14000000000000001</v>
      </c>
      <c r="C8" s="76">
        <v>0.17799999999999999</v>
      </c>
      <c r="D8" s="57" t="s">
        <v>37</v>
      </c>
      <c r="E8" s="71" t="s">
        <v>64</v>
      </c>
      <c r="F8" s="80">
        <v>145</v>
      </c>
      <c r="G8" s="81">
        <v>135</v>
      </c>
      <c r="H8" s="82">
        <v>230</v>
      </c>
      <c r="I8" s="82">
        <v>215</v>
      </c>
    </row>
    <row r="9" spans="1:9" x14ac:dyDescent="0.25">
      <c r="A9" s="64" t="s">
        <v>15</v>
      </c>
      <c r="B9" s="77">
        <v>24.65</v>
      </c>
      <c r="C9" s="79">
        <v>33</v>
      </c>
      <c r="D9" s="57" t="s">
        <v>37</v>
      </c>
      <c r="E9" s="64" t="s">
        <v>65</v>
      </c>
      <c r="F9" s="68">
        <v>9.3399999999999997E-2</v>
      </c>
      <c r="G9" s="69">
        <v>8.2900000000000001E-2</v>
      </c>
      <c r="H9" s="70">
        <v>8.4000000000000005E-2</v>
      </c>
      <c r="I9" s="70">
        <v>7.5999999999999998E-2</v>
      </c>
    </row>
    <row r="10" spans="1:9" x14ac:dyDescent="0.25">
      <c r="A10" s="71" t="s">
        <v>16</v>
      </c>
      <c r="B10" s="80">
        <v>145</v>
      </c>
      <c r="C10" s="82">
        <v>230</v>
      </c>
      <c r="D10" s="57" t="s">
        <v>37</v>
      </c>
      <c r="E10" s="57" t="s">
        <v>37</v>
      </c>
      <c r="F10" s="57" t="s">
        <v>37</v>
      </c>
      <c r="G10" s="57" t="s">
        <v>37</v>
      </c>
      <c r="H10" s="57" t="s">
        <v>37</v>
      </c>
      <c r="I10" s="57" t="s">
        <v>37</v>
      </c>
    </row>
    <row r="11" spans="1:9" x14ac:dyDescent="0.25">
      <c r="A11" s="64" t="s">
        <v>0</v>
      </c>
      <c r="B11" s="68">
        <v>9.3399999999999997E-2</v>
      </c>
      <c r="C11" s="70">
        <v>8.4000000000000005E-2</v>
      </c>
      <c r="D11" s="57" t="s">
        <v>37</v>
      </c>
      <c r="E11" s="57" t="s">
        <v>37</v>
      </c>
      <c r="F11" s="57" t="s">
        <v>37</v>
      </c>
      <c r="G11" s="57" t="s">
        <v>37</v>
      </c>
      <c r="H11" s="57" t="s">
        <v>37</v>
      </c>
      <c r="I11" s="57" t="s">
        <v>37</v>
      </c>
    </row>
    <row r="12" spans="1:9" x14ac:dyDescent="0.25">
      <c r="A12" s="58" t="s">
        <v>66</v>
      </c>
      <c r="B12" s="59"/>
      <c r="C12" s="60"/>
      <c r="D12" s="61" t="s">
        <v>37</v>
      </c>
      <c r="E12" s="62" t="s">
        <v>67</v>
      </c>
      <c r="F12" s="62"/>
      <c r="G12" s="62"/>
      <c r="H12" s="62"/>
      <c r="I12" s="63"/>
    </row>
    <row r="13" spans="1:9" x14ac:dyDescent="0.25">
      <c r="A13" s="64" t="s">
        <v>21</v>
      </c>
      <c r="B13" s="66">
        <v>2400000</v>
      </c>
      <c r="C13" s="67">
        <v>471000000</v>
      </c>
      <c r="D13" s="57" t="s">
        <v>37</v>
      </c>
      <c r="E13" s="64" t="s">
        <v>5</v>
      </c>
      <c r="F13" s="68">
        <v>2.47E-2</v>
      </c>
      <c r="G13" s="69">
        <v>6.4100000000000004E-2</v>
      </c>
      <c r="H13" s="70">
        <v>5.0999999999999997E-2</v>
      </c>
      <c r="I13" s="70">
        <v>4.8500000000000001E-2</v>
      </c>
    </row>
    <row r="14" spans="1:9" x14ac:dyDescent="0.25">
      <c r="A14" s="71" t="s">
        <v>19</v>
      </c>
      <c r="B14" s="72">
        <v>0</v>
      </c>
      <c r="C14" s="73">
        <v>7000000</v>
      </c>
      <c r="D14" s="57" t="s">
        <v>37</v>
      </c>
      <c r="E14" s="71" t="s">
        <v>62</v>
      </c>
      <c r="F14" s="74">
        <v>2.5000000000000001E-2</v>
      </c>
      <c r="G14" s="75">
        <v>4.1000000000000002E-2</v>
      </c>
      <c r="H14" s="76">
        <v>2.8000000000000001E-2</v>
      </c>
      <c r="I14" s="76">
        <v>3.7999999999999999E-2</v>
      </c>
    </row>
    <row r="15" spans="1:9" ht="24.75" x14ac:dyDescent="0.25">
      <c r="A15" s="64" t="s">
        <v>45</v>
      </c>
      <c r="B15" s="66">
        <v>30294</v>
      </c>
      <c r="C15" s="67">
        <v>3100000</v>
      </c>
      <c r="D15" s="57" t="s">
        <v>37</v>
      </c>
      <c r="E15" s="64" t="s">
        <v>63</v>
      </c>
      <c r="F15" s="77">
        <v>22.84</v>
      </c>
      <c r="G15" s="78">
        <v>21</v>
      </c>
      <c r="H15" s="79">
        <v>25.32</v>
      </c>
      <c r="I15" s="79">
        <v>21.17</v>
      </c>
    </row>
    <row r="16" spans="1:9" x14ac:dyDescent="0.25">
      <c r="A16" s="71" t="s">
        <v>5</v>
      </c>
      <c r="B16" s="74">
        <v>2.5000000000000001E-2</v>
      </c>
      <c r="C16" s="76">
        <v>5.0999999999999997E-2</v>
      </c>
      <c r="D16" s="57" t="s">
        <v>37</v>
      </c>
      <c r="E16" s="71" t="s">
        <v>64</v>
      </c>
      <c r="F16" s="80">
        <v>270</v>
      </c>
      <c r="G16" s="81">
        <v>250</v>
      </c>
      <c r="H16" s="82">
        <v>274</v>
      </c>
      <c r="I16" s="82">
        <v>238</v>
      </c>
    </row>
    <row r="17" spans="1:9" x14ac:dyDescent="0.25">
      <c r="A17" s="64" t="s">
        <v>15</v>
      </c>
      <c r="B17" s="77">
        <v>22.84</v>
      </c>
      <c r="C17" s="79">
        <v>25.32</v>
      </c>
      <c r="D17" s="57" t="s">
        <v>37</v>
      </c>
      <c r="E17" s="64" t="s">
        <v>65</v>
      </c>
      <c r="F17" s="68">
        <v>6.54E-2</v>
      </c>
      <c r="G17" s="69">
        <v>6.6299999999999998E-2</v>
      </c>
      <c r="H17" s="70">
        <v>6.9099999999999995E-2</v>
      </c>
      <c r="I17" s="70">
        <v>6.7699999999999996E-2</v>
      </c>
    </row>
    <row r="18" spans="1:9" x14ac:dyDescent="0.25">
      <c r="A18" s="71" t="s">
        <v>16</v>
      </c>
      <c r="B18" s="80">
        <v>270</v>
      </c>
      <c r="C18" s="82">
        <v>274</v>
      </c>
      <c r="D18" s="57" t="s">
        <v>37</v>
      </c>
      <c r="E18" s="57" t="s">
        <v>37</v>
      </c>
      <c r="F18" s="57" t="s">
        <v>37</v>
      </c>
      <c r="G18" s="57" t="s">
        <v>37</v>
      </c>
      <c r="H18" s="57" t="s">
        <v>37</v>
      </c>
      <c r="I18" s="57" t="s">
        <v>37</v>
      </c>
    </row>
    <row r="19" spans="1:9" x14ac:dyDescent="0.25">
      <c r="A19" s="64" t="s">
        <v>0</v>
      </c>
      <c r="B19" s="68">
        <v>6.54E-2</v>
      </c>
      <c r="C19" s="70">
        <v>6.9000000000000006E-2</v>
      </c>
      <c r="D19" s="57" t="s">
        <v>37</v>
      </c>
      <c r="E19" s="57" t="s">
        <v>37</v>
      </c>
      <c r="F19" s="57" t="s">
        <v>37</v>
      </c>
      <c r="G19" s="57" t="s">
        <v>37</v>
      </c>
      <c r="H19" s="57" t="s">
        <v>37</v>
      </c>
      <c r="I19" s="57" t="s">
        <v>37</v>
      </c>
    </row>
    <row r="20" spans="1:9" x14ac:dyDescent="0.25">
      <c r="A20" s="58" t="s">
        <v>68</v>
      </c>
      <c r="B20" s="59"/>
      <c r="C20" s="60"/>
      <c r="D20" s="61" t="s">
        <v>37</v>
      </c>
      <c r="E20" s="62" t="s">
        <v>67</v>
      </c>
      <c r="F20" s="62"/>
      <c r="G20" s="62"/>
      <c r="H20" s="62"/>
      <c r="I20" s="63"/>
    </row>
    <row r="21" spans="1:9" ht="24.75" x14ac:dyDescent="0.25">
      <c r="A21" s="64" t="s">
        <v>69</v>
      </c>
      <c r="B21" s="66">
        <v>2030</v>
      </c>
      <c r="C21" s="67">
        <v>144533</v>
      </c>
      <c r="D21" s="57" t="s">
        <v>37</v>
      </c>
      <c r="E21" s="64" t="s">
        <v>70</v>
      </c>
      <c r="F21" s="83" t="s">
        <v>50</v>
      </c>
      <c r="G21" s="83" t="s">
        <v>71</v>
      </c>
      <c r="H21" s="70">
        <v>0.64710000000000001</v>
      </c>
      <c r="I21" s="70">
        <v>0.64059999999999995</v>
      </c>
    </row>
    <row r="22" spans="1:9" ht="24.75" x14ac:dyDescent="0.25">
      <c r="A22" s="71" t="s">
        <v>46</v>
      </c>
      <c r="B22" s="72">
        <v>143</v>
      </c>
      <c r="C22" s="73">
        <v>5312</v>
      </c>
      <c r="D22" s="57" t="s">
        <v>37</v>
      </c>
      <c r="E22" s="71" t="s">
        <v>47</v>
      </c>
      <c r="F22" s="83" t="s">
        <v>50</v>
      </c>
      <c r="G22" s="83" t="s">
        <v>71</v>
      </c>
      <c r="H22" s="84">
        <v>128.94</v>
      </c>
      <c r="I22" s="84">
        <v>110.32</v>
      </c>
    </row>
    <row r="23" spans="1:9" ht="24.75" x14ac:dyDescent="0.25">
      <c r="A23" s="64" t="s">
        <v>72</v>
      </c>
      <c r="B23" s="83" t="s">
        <v>50</v>
      </c>
      <c r="C23" s="70">
        <v>0.64700000000000002</v>
      </c>
      <c r="D23" s="57" t="s">
        <v>37</v>
      </c>
      <c r="E23" s="64" t="s">
        <v>48</v>
      </c>
      <c r="F23" s="83" t="s">
        <v>50</v>
      </c>
      <c r="G23" s="83" t="s">
        <v>71</v>
      </c>
      <c r="H23" s="79">
        <v>83.44</v>
      </c>
      <c r="I23" s="79">
        <v>71.23</v>
      </c>
    </row>
    <row r="24" spans="1:9" x14ac:dyDescent="0.25">
      <c r="A24" s="71" t="s">
        <v>33</v>
      </c>
      <c r="B24" s="83" t="s">
        <v>50</v>
      </c>
      <c r="C24" s="82">
        <v>129</v>
      </c>
      <c r="D24" s="57" t="s">
        <v>37</v>
      </c>
      <c r="E24" s="71" t="s">
        <v>73</v>
      </c>
      <c r="F24" s="80">
        <v>201000</v>
      </c>
      <c r="G24" s="81">
        <v>185000</v>
      </c>
      <c r="H24" s="82">
        <v>136000</v>
      </c>
      <c r="I24" s="82">
        <v>125000</v>
      </c>
    </row>
    <row r="25" spans="1:9" x14ac:dyDescent="0.25">
      <c r="A25" s="64" t="s">
        <v>35</v>
      </c>
      <c r="B25" s="83" t="s">
        <v>50</v>
      </c>
      <c r="C25" s="85">
        <v>83</v>
      </c>
      <c r="D25" s="57" t="s">
        <v>37</v>
      </c>
      <c r="E25" s="64" t="s">
        <v>65</v>
      </c>
      <c r="F25" s="68">
        <v>8.9800000000000005E-2</v>
      </c>
      <c r="G25" s="69">
        <v>8.2699999999999996E-2</v>
      </c>
      <c r="H25" s="70">
        <v>9.2700000000000005E-2</v>
      </c>
      <c r="I25" s="70">
        <v>8.6800000000000002E-2</v>
      </c>
    </row>
    <row r="26" spans="1:9" ht="24.75" x14ac:dyDescent="0.25">
      <c r="A26" s="71" t="s">
        <v>32</v>
      </c>
      <c r="B26" s="80">
        <v>201000</v>
      </c>
      <c r="C26" s="82">
        <v>140000</v>
      </c>
      <c r="D26" s="57" t="s">
        <v>37</v>
      </c>
      <c r="E26" s="57" t="s">
        <v>37</v>
      </c>
      <c r="F26" s="57" t="s">
        <v>37</v>
      </c>
      <c r="G26" s="57" t="s">
        <v>37</v>
      </c>
      <c r="H26" s="57" t="s">
        <v>37</v>
      </c>
      <c r="I26" s="57" t="s">
        <v>37</v>
      </c>
    </row>
    <row r="27" spans="1:9" x14ac:dyDescent="0.25">
      <c r="A27" s="64" t="s">
        <v>0</v>
      </c>
      <c r="B27" s="68">
        <v>8.9800000000000005E-2</v>
      </c>
      <c r="C27" s="70">
        <v>9.2999999999999999E-2</v>
      </c>
      <c r="D27" s="57" t="s">
        <v>37</v>
      </c>
      <c r="E27" s="57" t="s">
        <v>37</v>
      </c>
      <c r="F27" s="57" t="s">
        <v>37</v>
      </c>
      <c r="G27" s="57" t="s">
        <v>37</v>
      </c>
      <c r="H27" s="57" t="s">
        <v>37</v>
      </c>
      <c r="I27" s="57" t="s">
        <v>37</v>
      </c>
    </row>
    <row r="28" spans="1:9" x14ac:dyDescent="0.25">
      <c r="A28" s="58" t="s">
        <v>74</v>
      </c>
      <c r="B28" s="59"/>
      <c r="C28" s="60"/>
      <c r="D28" s="61" t="s">
        <v>37</v>
      </c>
      <c r="E28" s="62" t="s">
        <v>75</v>
      </c>
      <c r="F28" s="62"/>
      <c r="G28" s="62"/>
      <c r="H28" s="62"/>
      <c r="I28" s="63"/>
    </row>
    <row r="29" spans="1:9" x14ac:dyDescent="0.25">
      <c r="A29" s="64" t="s">
        <v>76</v>
      </c>
      <c r="B29" s="66">
        <v>2940</v>
      </c>
      <c r="C29" s="67">
        <v>1147860</v>
      </c>
      <c r="D29" s="57" t="s">
        <v>37</v>
      </c>
      <c r="E29" s="64" t="s">
        <v>70</v>
      </c>
      <c r="F29" s="68">
        <v>0.86839999999999995</v>
      </c>
      <c r="G29" s="69">
        <v>0.92130000000000001</v>
      </c>
      <c r="H29" s="70">
        <v>0.87909999999999999</v>
      </c>
      <c r="I29" s="70">
        <v>0.91139999999999999</v>
      </c>
    </row>
    <row r="30" spans="1:9" ht="24.75" x14ac:dyDescent="0.25">
      <c r="A30" s="71" t="s">
        <v>9</v>
      </c>
      <c r="B30" s="72">
        <v>0</v>
      </c>
      <c r="C30" s="73">
        <v>32717</v>
      </c>
      <c r="D30" s="57" t="s">
        <v>37</v>
      </c>
      <c r="E30" s="71" t="s">
        <v>62</v>
      </c>
      <c r="F30" s="74">
        <v>-0.01</v>
      </c>
      <c r="G30" s="75">
        <v>4.2000000000000003E-2</v>
      </c>
      <c r="H30" s="76">
        <v>-1.7000000000000001E-2</v>
      </c>
      <c r="I30" s="76">
        <v>2.8000000000000001E-2</v>
      </c>
    </row>
    <row r="31" spans="1:9" x14ac:dyDescent="0.25">
      <c r="A31" s="64" t="s">
        <v>17</v>
      </c>
      <c r="B31" s="65">
        <v>182</v>
      </c>
      <c r="C31" s="67">
        <v>25587</v>
      </c>
      <c r="D31" s="57" t="s">
        <v>37</v>
      </c>
      <c r="E31" s="64" t="s">
        <v>77</v>
      </c>
      <c r="F31" s="86">
        <v>1336</v>
      </c>
      <c r="G31" s="87">
        <v>1450</v>
      </c>
      <c r="H31" s="85">
        <v>1539</v>
      </c>
      <c r="I31" s="85">
        <v>1416</v>
      </c>
    </row>
    <row r="32" spans="1:9" x14ac:dyDescent="0.25">
      <c r="A32" s="71" t="s">
        <v>5</v>
      </c>
      <c r="B32" s="74">
        <v>0.13200000000000001</v>
      </c>
      <c r="C32" s="76">
        <v>0.121</v>
      </c>
      <c r="D32" s="57" t="s">
        <v>37</v>
      </c>
      <c r="E32" s="71" t="s">
        <v>78</v>
      </c>
      <c r="F32" s="80">
        <v>132315</v>
      </c>
      <c r="G32" s="81">
        <v>145000</v>
      </c>
      <c r="H32" s="82">
        <v>176671</v>
      </c>
      <c r="I32" s="82">
        <v>163599</v>
      </c>
    </row>
    <row r="33" spans="1:9" x14ac:dyDescent="0.25">
      <c r="A33" s="64" t="s">
        <v>3</v>
      </c>
      <c r="B33" s="86">
        <v>1336</v>
      </c>
      <c r="C33" s="85">
        <v>1539</v>
      </c>
      <c r="D33" s="57" t="s">
        <v>37</v>
      </c>
      <c r="E33" s="64" t="s">
        <v>65</v>
      </c>
      <c r="F33" s="68">
        <v>5.7500000000000002E-2</v>
      </c>
      <c r="G33" s="69">
        <v>5.4600000000000003E-2</v>
      </c>
      <c r="H33" s="70">
        <v>5.8799999999999998E-2</v>
      </c>
      <c r="I33" s="70">
        <v>5.4699999999999999E-2</v>
      </c>
    </row>
    <row r="34" spans="1:9" x14ac:dyDescent="0.25">
      <c r="A34" s="71" t="s">
        <v>2</v>
      </c>
      <c r="B34" s="80">
        <v>132315</v>
      </c>
      <c r="C34" s="82">
        <v>177000</v>
      </c>
      <c r="D34" s="57" t="s">
        <v>37</v>
      </c>
      <c r="E34" s="57" t="s">
        <v>37</v>
      </c>
      <c r="F34" s="57" t="s">
        <v>37</v>
      </c>
      <c r="G34" s="57" t="s">
        <v>37</v>
      </c>
      <c r="H34" s="57" t="s">
        <v>37</v>
      </c>
      <c r="I34" s="57" t="s">
        <v>37</v>
      </c>
    </row>
    <row r="35" spans="1:9" x14ac:dyDescent="0.25">
      <c r="A35" s="64" t="s">
        <v>0</v>
      </c>
      <c r="B35" s="68">
        <v>5.7500000000000002E-2</v>
      </c>
      <c r="C35" s="70">
        <v>5.8999999999999997E-2</v>
      </c>
      <c r="D35" s="57" t="s">
        <v>37</v>
      </c>
      <c r="E35" s="57" t="s">
        <v>37</v>
      </c>
      <c r="F35" s="57" t="s">
        <v>37</v>
      </c>
      <c r="G35" s="57" t="s">
        <v>37</v>
      </c>
      <c r="H35" s="57" t="s">
        <v>37</v>
      </c>
      <c r="I35" s="57" t="s">
        <v>37</v>
      </c>
    </row>
    <row r="36" spans="1:9" x14ac:dyDescent="0.25">
      <c r="A36" s="58" t="s">
        <v>79</v>
      </c>
      <c r="B36" s="59"/>
      <c r="C36" s="60"/>
      <c r="D36" s="61" t="s">
        <v>37</v>
      </c>
      <c r="E36" s="62" t="s">
        <v>67</v>
      </c>
      <c r="F36" s="62"/>
      <c r="G36" s="62"/>
      <c r="H36" s="62"/>
      <c r="I36" s="63"/>
    </row>
    <row r="37" spans="1:9" ht="24.75" x14ac:dyDescent="0.25">
      <c r="A37" s="64" t="s">
        <v>49</v>
      </c>
      <c r="B37" s="86">
        <v>52600</v>
      </c>
      <c r="C37" s="85">
        <v>83900</v>
      </c>
      <c r="D37" s="88" t="s">
        <v>37</v>
      </c>
      <c r="E37" s="89" t="s">
        <v>37</v>
      </c>
      <c r="F37" s="89" t="s">
        <v>37</v>
      </c>
      <c r="G37" s="89" t="s">
        <v>37</v>
      </c>
      <c r="H37" s="89" t="s">
        <v>37</v>
      </c>
      <c r="I37" s="89" t="s">
        <v>37</v>
      </c>
    </row>
    <row r="38" spans="1:9" ht="24.75" x14ac:dyDescent="0.25">
      <c r="A38" s="71" t="s">
        <v>80</v>
      </c>
      <c r="B38" s="74">
        <v>0.06</v>
      </c>
      <c r="C38" s="76">
        <v>0.06</v>
      </c>
      <c r="D38" s="88" t="s">
        <v>37</v>
      </c>
      <c r="E38" s="88" t="s">
        <v>37</v>
      </c>
      <c r="F38" s="88" t="s">
        <v>37</v>
      </c>
      <c r="G38" s="88" t="s">
        <v>37</v>
      </c>
      <c r="H38" s="88" t="s">
        <v>37</v>
      </c>
      <c r="I38" s="88" t="s">
        <v>37</v>
      </c>
    </row>
    <row r="39" spans="1:9" x14ac:dyDescent="0.25">
      <c r="A39" s="41"/>
      <c r="B39" s="41"/>
      <c r="C39" s="41"/>
      <c r="D39" s="41"/>
      <c r="E39" s="41"/>
      <c r="F39" s="41"/>
      <c r="G39" s="41"/>
      <c r="H39" s="41"/>
      <c r="I39" s="41"/>
    </row>
    <row r="40" spans="1:9" x14ac:dyDescent="0.25">
      <c r="A40" s="90" t="s">
        <v>81</v>
      </c>
      <c r="B40" s="90"/>
      <c r="C40" s="90"/>
      <c r="D40" s="90"/>
      <c r="E40" s="90"/>
      <c r="F40" s="90"/>
      <c r="G40" s="90"/>
      <c r="H40" s="90"/>
      <c r="I40" s="90"/>
    </row>
    <row r="41" spans="1:9" x14ac:dyDescent="0.25">
      <c r="A41" s="37"/>
      <c r="B41" s="38"/>
      <c r="C41" s="40"/>
      <c r="D41" s="40"/>
      <c r="E41" s="40"/>
    </row>
    <row r="42" spans="1:9" x14ac:dyDescent="0.25">
      <c r="A42" s="39"/>
      <c r="B42" s="42"/>
      <c r="C42" s="42"/>
      <c r="D42" s="42"/>
      <c r="E42" s="43"/>
    </row>
    <row r="43" spans="1:9" x14ac:dyDescent="0.25">
      <c r="A43" s="41"/>
      <c r="B43" s="41"/>
      <c r="C43" s="41"/>
      <c r="D43" s="41"/>
      <c r="E43" s="41"/>
    </row>
    <row r="44" spans="1:9" x14ac:dyDescent="0.25">
      <c r="A44" s="44"/>
      <c r="B44" s="44"/>
      <c r="C44" s="44"/>
      <c r="D44" s="44"/>
      <c r="E44" s="44"/>
    </row>
  </sheetData>
  <mergeCells count="15">
    <mergeCell ref="A36:C36"/>
    <mergeCell ref="E36:I36"/>
    <mergeCell ref="A40:I40"/>
    <mergeCell ref="B42:E42"/>
    <mergeCell ref="A44:E44"/>
    <mergeCell ref="A1:I1"/>
    <mergeCell ref="A2:I2"/>
    <mergeCell ref="A4:C4"/>
    <mergeCell ref="E4:I4"/>
    <mergeCell ref="A12:C12"/>
    <mergeCell ref="E12:I12"/>
    <mergeCell ref="A20:C20"/>
    <mergeCell ref="E20:I20"/>
    <mergeCell ref="A28:C28"/>
    <mergeCell ref="E28:I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Truist Park 1 mi</vt:lpstr>
      <vt:lpstr>Mercedez Benz Stadium 1 mi</vt:lpstr>
      <vt:lpstr>Bank of America Properties 1mi</vt:lpstr>
      <vt:lpstr>Spectrum Center Properties 1 mi</vt:lpstr>
      <vt:lpstr>Allegiant Stadium Properties 1 </vt:lpstr>
      <vt:lpstr>T Mobile Arena</vt:lpstr>
      <vt:lpstr>American Airlines Center 1 mi</vt:lpstr>
      <vt:lpstr>AT&amp;T Stadium 1 mi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Lucas, Pearse</dc:creator>
  <cp:keywords/>
  <dc:description/>
  <cp:lastModifiedBy>Lucas, Pearse</cp:lastModifiedBy>
  <cp:revision/>
  <dcterms:created xsi:type="dcterms:W3CDTF">2026-04-09T14:02:27Z</dcterms:created>
  <dcterms:modified xsi:type="dcterms:W3CDTF">2026-04-14T00:33:24Z</dcterms:modified>
  <cp:category/>
  <cp:contentStatus/>
</cp:coreProperties>
</file>